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-School\0-Skripsi\MGCBS\20 iterations (heuristics 3x time horizon)\"/>
    </mc:Choice>
  </mc:AlternateContent>
  <xr:revisionPtr revIDLastSave="0" documentId="13_ncr:1_{6C409696-7AAE-4002-88FC-55A7D6D55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gcbs_results_summary" sheetId="2" r:id="rId1"/>
    <sheet name="Data Sum" sheetId="21" r:id="rId2"/>
    <sheet name="SoC" sheetId="13" r:id="rId3"/>
    <sheet name="Makespan" sheetId="14" r:id="rId4"/>
    <sheet name="Computation Time" sheetId="15" r:id="rId5"/>
    <sheet name="Astar" sheetId="16" r:id="rId6"/>
    <sheet name="DSS" sheetId="17" r:id="rId7"/>
    <sheet name="CBS" sheetId="18" r:id="rId8"/>
  </sheets>
  <definedNames>
    <definedName name="_xlcn.WorksheetConnection_processeddata.xlsxmgcbs_results_summary" hidden="1">mgcbs_results_summary[]</definedName>
    <definedName name="ExternalData_1" localSheetId="0" hidden="1">mgcbs_results_summary!$A$1:$M$401</definedName>
  </definedNames>
  <calcPr calcId="191029"/>
  <pivotCaches>
    <pivotCache cacheId="153" r:id="rId9"/>
    <pivotCache cacheId="786" r:id="rId10"/>
    <pivotCache cacheId="789" r:id="rId11"/>
    <pivotCache cacheId="792" r:id="rId12"/>
    <pivotCache cacheId="795" r:id="rId13"/>
    <pivotCache cacheId="798" r:id="rId14"/>
    <pivotCache cacheId="801" r:id="rId15"/>
    <pivotCache cacheId="804" r:id="rId16"/>
    <pivotCache cacheId="807" r:id="rId17"/>
    <pivotCache cacheId="810" r:id="rId18"/>
    <pivotCache cacheId="813" r:id="rId19"/>
    <pivotCache cacheId="816" r:id="rId20"/>
    <pivotCache cacheId="819" r:id="rId21"/>
    <pivotCache cacheId="822" r:id="rId22"/>
    <pivotCache cacheId="825" r:id="rId23"/>
    <pivotCache cacheId="828" r:id="rId24"/>
    <pivotCache cacheId="831" r:id="rId25"/>
    <pivotCache cacheId="834" r:id="rId26"/>
    <pivotCache cacheId="837" r:id="rId27"/>
    <pivotCache cacheId="840" r:id="rId28"/>
    <pivotCache cacheId="843" r:id="rId29"/>
    <pivotCache cacheId="846" r:id="rId3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gcbs_results_summary" name="mgcbs_results_summary" connection="WorksheetConnection_processed data.xlsx!mgcbs_results_summary"/>
        </x15:modelTables>
      </x15:dataModel>
    </ext>
  </extLst>
</workbook>
</file>

<file path=xl/calcChain.xml><?xml version="1.0" encoding="utf-8"?>
<calcChain xmlns="http://schemas.openxmlformats.org/spreadsheetml/2006/main">
  <c r="J11" i="21" l="1"/>
  <c r="K5" i="21"/>
  <c r="L5" i="21"/>
  <c r="M5" i="21"/>
  <c r="N5" i="21"/>
  <c r="L6" i="21"/>
  <c r="M6" i="21"/>
  <c r="N6" i="21"/>
  <c r="L7" i="21"/>
  <c r="M7" i="21"/>
  <c r="N7" i="21"/>
  <c r="L8" i="21"/>
  <c r="M8" i="21"/>
  <c r="N8" i="21"/>
  <c r="L9" i="21"/>
  <c r="M9" i="21"/>
  <c r="N9" i="21"/>
  <c r="K6" i="21"/>
  <c r="K7" i="21"/>
  <c r="K8" i="21"/>
  <c r="K9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69639-9C10-4E07-AF92-323A5D4E328D}" keepAlive="1" name="Query - mgcbs_results_summary" description="Connection to the 'mgcbs_results_summary' query in the workbook." type="5" refreshedVersion="8" background="1" saveData="1">
    <dbPr connection="Provider=Microsoft.Mashup.OleDb.1;Data Source=$Workbook$;Location=mgcbs_results_summary;Extended Properties=&quot;&quot;" command="SELECT * FROM [mgcbs_results_summary]"/>
  </connection>
  <connection id="2" xr16:uid="{3A30C56F-110A-418F-9FB2-53ACCB6015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F7D9BB3-3DE8-4DDA-A245-60D60028215A}" name="WorksheetConnection_processed data.xlsx!mgcbs_results_summary" type="102" refreshedVersion="8" minRefreshableVersion="5">
    <extLst>
      <ext xmlns:x15="http://schemas.microsoft.com/office/spreadsheetml/2010/11/main" uri="{DE250136-89BD-433C-8126-D09CA5730AF9}">
        <x15:connection id="mgcbs_results_summary" autoDelete="1">
          <x15:rangePr sourceName="_xlcn.WorksheetConnection_processeddata.xlsxmgcbs_results_summary"/>
        </x15:connection>
      </ext>
    </extLst>
  </connection>
</connections>
</file>

<file path=xl/sharedStrings.xml><?xml version="1.0" encoding="utf-8"?>
<sst xmlns="http://schemas.openxmlformats.org/spreadsheetml/2006/main" count="933" uniqueCount="43">
  <si>
    <t>iteration</t>
  </si>
  <si>
    <t>num_agents</t>
  </si>
  <si>
    <t>tasks_per_agent</t>
  </si>
  <si>
    <t>soc</t>
  </si>
  <si>
    <t>makespan</t>
  </si>
  <si>
    <t>horizon</t>
  </si>
  <si>
    <t>elapsed_ms</t>
  </si>
  <si>
    <t>notes</t>
  </si>
  <si>
    <t>astar_states</t>
  </si>
  <si>
    <t>lowlevel_states</t>
  </si>
  <si>
    <t>cbs_nodes</t>
  </si>
  <si>
    <t>seed</t>
  </si>
  <si>
    <t>status</t>
  </si>
  <si>
    <t/>
  </si>
  <si>
    <t>success</t>
  </si>
  <si>
    <t>solver exceeded time limit</t>
  </si>
  <si>
    <t>Row Labels</t>
  </si>
  <si>
    <t>Grand Total</t>
  </si>
  <si>
    <t>Column Labels</t>
  </si>
  <si>
    <t>Average of soc</t>
  </si>
  <si>
    <t>Max of soc</t>
  </si>
  <si>
    <t>Min of soc</t>
  </si>
  <si>
    <t>Average of makespan</t>
  </si>
  <si>
    <t>Min of makespan</t>
  </si>
  <si>
    <t>Max of makespan</t>
  </si>
  <si>
    <t>Median Makespan</t>
  </si>
  <si>
    <t>Median SoC</t>
  </si>
  <si>
    <t>Median Time Elapsed</t>
  </si>
  <si>
    <t>Min of elapsed_ms</t>
  </si>
  <si>
    <t>Max of elapsed_ms</t>
  </si>
  <si>
    <t>Median Astar</t>
  </si>
  <si>
    <t>Min of astar_states</t>
  </si>
  <si>
    <t>Max of astar_states</t>
  </si>
  <si>
    <t>Median DSS</t>
  </si>
  <si>
    <t>Max of lowlevel_states</t>
  </si>
  <si>
    <t>Min of lowlevel_states</t>
  </si>
  <si>
    <t>Min of cbs_nodes</t>
  </si>
  <si>
    <t>Max of cbs_nodes</t>
  </si>
  <si>
    <t>Median CBS</t>
  </si>
  <si>
    <t>StdDev of soc</t>
  </si>
  <si>
    <t>failed</t>
  </si>
  <si>
    <t>Count of 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</si>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</sst>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pivotCacheDefinition" Target="pivotCache/pivotCacheDefinition18.xml"/><Relationship Id="rId21" Type="http://schemas.openxmlformats.org/officeDocument/2006/relationships/pivotCacheDefinition" Target="pivotCache/pivotCacheDefinition1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29" Type="http://schemas.openxmlformats.org/officeDocument/2006/relationships/pivotCacheDefinition" Target="pivotCache/pivotCacheDefinition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16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openxmlformats.org/officeDocument/2006/relationships/pivotCacheDefinition" Target="pivotCache/pivotCacheDefinition20.xml"/><Relationship Id="rId36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ivotCacheDefinition" Target="pivotCache/pivotCacheDefinition19.xml"/><Relationship Id="rId30" Type="http://schemas.openxmlformats.org/officeDocument/2006/relationships/pivotCacheDefinition" Target="pivotCache/pivotCacheDefinition22.xml"/><Relationship Id="rId35" Type="http://schemas.openxmlformats.org/officeDocument/2006/relationships/powerPivotData" Target="model/item.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data.xlsx]SoC!PivotTable15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SoC!$B$3:$B$4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SoC!$A$5:$A$10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SoC!$B$5:$B$10</c:f>
              <c:numCache>
                <c:formatCode>0.0</c:formatCode>
                <c:ptCount val="5"/>
                <c:pt idx="0">
                  <c:v>122.75</c:v>
                </c:pt>
                <c:pt idx="1">
                  <c:v>231</c:v>
                </c:pt>
                <c:pt idx="2">
                  <c:v>299.15789473684208</c:v>
                </c:pt>
                <c:pt idx="3">
                  <c:v>346.15</c:v>
                </c:pt>
                <c:pt idx="4">
                  <c:v>477.36842105263156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4-4DA4-A9BC-7299BE31832E}"/>
            </c:ext>
          </c:extLst>
        </c:ser>
        <c:ser>
          <c:idx val="1"/>
          <c:order val="1"/>
          <c:tx>
            <c:strRef>
              <c:f>SoC!$C$3:$C$4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SoC!$A$5:$A$10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SoC!$C$5:$C$10</c:f>
              <c:numCache>
                <c:formatCode>0.0</c:formatCode>
                <c:ptCount val="5"/>
                <c:pt idx="0">
                  <c:v>133.69999999999999</c:v>
                </c:pt>
                <c:pt idx="1">
                  <c:v>286.5</c:v>
                </c:pt>
                <c:pt idx="2">
                  <c:v>347</c:v>
                </c:pt>
                <c:pt idx="3">
                  <c:v>426.5</c:v>
                </c:pt>
                <c:pt idx="4">
                  <c:v>588.66666666666663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4-4DA4-A9BC-7299BE31832E}"/>
            </c:ext>
          </c:extLst>
        </c:ser>
        <c:ser>
          <c:idx val="2"/>
          <c:order val="2"/>
          <c:tx>
            <c:strRef>
              <c:f>SoC!$D$3:$D$4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SoC!$A$5:$A$10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SoC!$D$5:$D$10</c:f>
              <c:numCache>
                <c:formatCode>0.0</c:formatCode>
                <c:ptCount val="5"/>
                <c:pt idx="0">
                  <c:v>160.44999999999999</c:v>
                </c:pt>
                <c:pt idx="1">
                  <c:v>323.88888888888891</c:v>
                </c:pt>
                <c:pt idx="2">
                  <c:v>407.45</c:v>
                </c:pt>
                <c:pt idx="3">
                  <c:v>497.35294117647061</c:v>
                </c:pt>
                <c:pt idx="4">
                  <c:v>645.46153846153845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4-4DA4-A9BC-7299BE31832E}"/>
            </c:ext>
          </c:extLst>
        </c:ser>
        <c:ser>
          <c:idx val="3"/>
          <c:order val="3"/>
          <c:tx>
            <c:strRef>
              <c:f>SoC!$E$3:$E$4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SoC!$A$5:$A$10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SoC!$E$5:$E$10</c:f>
              <c:numCache>
                <c:formatCode>0.0</c:formatCode>
                <c:ptCount val="5"/>
                <c:pt idx="0">
                  <c:v>191.55</c:v>
                </c:pt>
                <c:pt idx="1">
                  <c:v>384.83333333333331</c:v>
                </c:pt>
                <c:pt idx="2">
                  <c:v>488.64705882352939</c:v>
                </c:pt>
                <c:pt idx="3">
                  <c:v>591.4545454545455</c:v>
                </c:pt>
                <c:pt idx="4">
                  <c:v>767.88888888888891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4-4DA4-A9BC-7299BE318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277696"/>
        <c:axId val="1550289216"/>
      </c:lineChart>
      <c:catAx>
        <c:axId val="155027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89216"/>
        <c:crosses val="autoZero"/>
        <c:auto val="1"/>
        <c:lblAlgn val="ctr"/>
        <c:lblOffset val="100"/>
        <c:noMultiLvlLbl val="0"/>
      </c:catAx>
      <c:valAx>
        <c:axId val="15502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7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data.xlsx]SoC!PivotTable2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SoC!$B$28:$B$29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SoC!$A$30:$A$35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SoC!$B$30:$B$35</c:f>
              <c:numCache>
                <c:formatCode>0.0</c:formatCode>
                <c:ptCount val="5"/>
                <c:pt idx="0">
                  <c:v>125</c:v>
                </c:pt>
                <c:pt idx="1">
                  <c:v>230</c:v>
                </c:pt>
                <c:pt idx="2">
                  <c:v>284</c:v>
                </c:pt>
                <c:pt idx="3">
                  <c:v>353.5</c:v>
                </c:pt>
                <c:pt idx="4">
                  <c:v>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5-46EC-8D24-4C71F8CE2E41}"/>
            </c:ext>
          </c:extLst>
        </c:ser>
        <c:ser>
          <c:idx val="1"/>
          <c:order val="1"/>
          <c:tx>
            <c:strRef>
              <c:f>SoC!$C$28:$C$29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SoC!$A$30:$A$35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SoC!$C$30:$C$35</c:f>
              <c:numCache>
                <c:formatCode>0.0</c:formatCode>
                <c:ptCount val="5"/>
                <c:pt idx="0">
                  <c:v>136.5</c:v>
                </c:pt>
                <c:pt idx="1">
                  <c:v>289.5</c:v>
                </c:pt>
                <c:pt idx="2">
                  <c:v>348</c:v>
                </c:pt>
                <c:pt idx="3">
                  <c:v>425</c:v>
                </c:pt>
                <c:pt idx="4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5-46EC-8D24-4C71F8CE2E41}"/>
            </c:ext>
          </c:extLst>
        </c:ser>
        <c:ser>
          <c:idx val="2"/>
          <c:order val="2"/>
          <c:tx>
            <c:strRef>
              <c:f>SoC!$D$28:$D$29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SoC!$A$30:$A$35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SoC!$D$30:$D$35</c:f>
              <c:numCache>
                <c:formatCode>0.0</c:formatCode>
                <c:ptCount val="5"/>
                <c:pt idx="0">
                  <c:v>157.5</c:v>
                </c:pt>
                <c:pt idx="1">
                  <c:v>317.5</c:v>
                </c:pt>
                <c:pt idx="2">
                  <c:v>412</c:v>
                </c:pt>
                <c:pt idx="3">
                  <c:v>499</c:v>
                </c:pt>
                <c:pt idx="4">
                  <c:v>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35-46EC-8D24-4C71F8CE2E41}"/>
            </c:ext>
          </c:extLst>
        </c:ser>
        <c:ser>
          <c:idx val="3"/>
          <c:order val="3"/>
          <c:tx>
            <c:strRef>
              <c:f>SoC!$E$28:$E$29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SoC!$A$30:$A$35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SoC!$E$30:$E$35</c:f>
              <c:numCache>
                <c:formatCode>0.0</c:formatCode>
                <c:ptCount val="5"/>
                <c:pt idx="0">
                  <c:v>193.5</c:v>
                </c:pt>
                <c:pt idx="1">
                  <c:v>380.5</c:v>
                </c:pt>
                <c:pt idx="2">
                  <c:v>490</c:v>
                </c:pt>
                <c:pt idx="3">
                  <c:v>586</c:v>
                </c:pt>
                <c:pt idx="4">
                  <c:v>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35-46EC-8D24-4C71F8CE2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38192"/>
        <c:axId val="1542049232"/>
      </c:lineChart>
      <c:catAx>
        <c:axId val="15420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49232"/>
        <c:crosses val="autoZero"/>
        <c:auto val="1"/>
        <c:lblAlgn val="ctr"/>
        <c:lblOffset val="100"/>
        <c:noMultiLvlLbl val="0"/>
      </c:catAx>
      <c:valAx>
        <c:axId val="15420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3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data.xlsx]Makespan!PivotTable18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Makespan!$B$3:$B$4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Makespan!$A$5:$A$10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Makespan!$B$5:$B$10</c:f>
              <c:numCache>
                <c:formatCode>0.0</c:formatCode>
                <c:ptCount val="5"/>
                <c:pt idx="0">
                  <c:v>71.650000000000006</c:v>
                </c:pt>
                <c:pt idx="1">
                  <c:v>78</c:v>
                </c:pt>
                <c:pt idx="2">
                  <c:v>79.89473684210526</c:v>
                </c:pt>
                <c:pt idx="3">
                  <c:v>78.599999999999994</c:v>
                </c:pt>
                <c:pt idx="4">
                  <c:v>85.15789473684211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5-4DBF-8307-D4857ED3DFF4}"/>
            </c:ext>
          </c:extLst>
        </c:ser>
        <c:ser>
          <c:idx val="1"/>
          <c:order val="1"/>
          <c:tx>
            <c:strRef>
              <c:f>Makespan!$C$3:$C$4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Makespan!$A$5:$A$10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Makespan!$C$5:$C$10</c:f>
              <c:numCache>
                <c:formatCode>0.0</c:formatCode>
                <c:ptCount val="5"/>
                <c:pt idx="0">
                  <c:v>73.650000000000006</c:v>
                </c:pt>
                <c:pt idx="1">
                  <c:v>86.6</c:v>
                </c:pt>
                <c:pt idx="2">
                  <c:v>86.9</c:v>
                </c:pt>
                <c:pt idx="3">
                  <c:v>93.833333333333329</c:v>
                </c:pt>
                <c:pt idx="4">
                  <c:v>95.722222222222229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5-4DBF-8307-D4857ED3DFF4}"/>
            </c:ext>
          </c:extLst>
        </c:ser>
        <c:ser>
          <c:idx val="2"/>
          <c:order val="2"/>
          <c:tx>
            <c:strRef>
              <c:f>Makespan!$D$3:$D$4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Makespan!$A$5:$A$10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Makespan!$D$5:$D$10</c:f>
              <c:numCache>
                <c:formatCode>0.0</c:formatCode>
                <c:ptCount val="5"/>
                <c:pt idx="0">
                  <c:v>88.6</c:v>
                </c:pt>
                <c:pt idx="1">
                  <c:v>96.166666666666671</c:v>
                </c:pt>
                <c:pt idx="2">
                  <c:v>97.8</c:v>
                </c:pt>
                <c:pt idx="3">
                  <c:v>99.17647058823529</c:v>
                </c:pt>
                <c:pt idx="4">
                  <c:v>99.307692307692307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C5-4DBF-8307-D4857ED3DFF4}"/>
            </c:ext>
          </c:extLst>
        </c:ser>
        <c:ser>
          <c:idx val="3"/>
          <c:order val="3"/>
          <c:tx>
            <c:strRef>
              <c:f>Makespan!$E$3:$E$4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Makespan!$A$5:$A$10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Makespan!$E$5:$E$10</c:f>
              <c:numCache>
                <c:formatCode>0.0</c:formatCode>
                <c:ptCount val="5"/>
                <c:pt idx="0">
                  <c:v>102.25</c:v>
                </c:pt>
                <c:pt idx="1">
                  <c:v>109.33333333333333</c:v>
                </c:pt>
                <c:pt idx="2">
                  <c:v>116.23529411764706</c:v>
                </c:pt>
                <c:pt idx="3">
                  <c:v>117.18181818181819</c:v>
                </c:pt>
                <c:pt idx="4">
                  <c:v>114.33333333333333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C5-4DBF-8307-D4857ED3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286336"/>
        <c:axId val="1550276736"/>
      </c:lineChart>
      <c:catAx>
        <c:axId val="15502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76736"/>
        <c:crosses val="autoZero"/>
        <c:auto val="1"/>
        <c:lblAlgn val="ctr"/>
        <c:lblOffset val="100"/>
        <c:noMultiLvlLbl val="0"/>
      </c:catAx>
      <c:valAx>
        <c:axId val="15502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data.xlsx]Makespan!PivotTable1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Makespan!$B$28:$B$29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Makespan!$A$30:$A$35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Makespan!$B$30:$B$35</c:f>
              <c:numCache>
                <c:formatCode>0</c:formatCode>
                <c:ptCount val="5"/>
                <c:pt idx="0">
                  <c:v>71</c:v>
                </c:pt>
                <c:pt idx="1">
                  <c:v>79</c:v>
                </c:pt>
                <c:pt idx="2">
                  <c:v>80</c:v>
                </c:pt>
                <c:pt idx="3">
                  <c:v>79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A-4F2C-9413-171F353FC0DC}"/>
            </c:ext>
          </c:extLst>
        </c:ser>
        <c:ser>
          <c:idx val="1"/>
          <c:order val="1"/>
          <c:tx>
            <c:strRef>
              <c:f>Makespan!$C$28:$C$29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Makespan!$A$30:$A$35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Makespan!$C$30:$C$35</c:f>
              <c:numCache>
                <c:formatCode>0</c:formatCode>
                <c:ptCount val="5"/>
                <c:pt idx="0">
                  <c:v>73</c:v>
                </c:pt>
                <c:pt idx="1">
                  <c:v>86</c:v>
                </c:pt>
                <c:pt idx="2">
                  <c:v>85.5</c:v>
                </c:pt>
                <c:pt idx="3">
                  <c:v>94</c:v>
                </c:pt>
                <c:pt idx="4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A-4F2C-9413-171F353FC0DC}"/>
            </c:ext>
          </c:extLst>
        </c:ser>
        <c:ser>
          <c:idx val="2"/>
          <c:order val="2"/>
          <c:tx>
            <c:strRef>
              <c:f>Makespan!$D$28:$D$29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Makespan!$A$30:$A$35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Makespan!$D$30:$D$35</c:f>
              <c:numCache>
                <c:formatCode>0</c:formatCode>
                <c:ptCount val="5"/>
                <c:pt idx="0">
                  <c:v>83.5</c:v>
                </c:pt>
                <c:pt idx="1">
                  <c:v>96.5</c:v>
                </c:pt>
                <c:pt idx="2">
                  <c:v>100.5</c:v>
                </c:pt>
                <c:pt idx="3">
                  <c:v>99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CA-4F2C-9413-171F353FC0DC}"/>
            </c:ext>
          </c:extLst>
        </c:ser>
        <c:ser>
          <c:idx val="3"/>
          <c:order val="3"/>
          <c:tx>
            <c:strRef>
              <c:f>Makespan!$E$28:$E$29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Makespan!$A$30:$A$35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Makespan!$E$30:$E$35</c:f>
              <c:numCache>
                <c:formatCode>0</c:formatCode>
                <c:ptCount val="5"/>
                <c:pt idx="0">
                  <c:v>103.5</c:v>
                </c:pt>
                <c:pt idx="1">
                  <c:v>108</c:v>
                </c:pt>
                <c:pt idx="2">
                  <c:v>117</c:v>
                </c:pt>
                <c:pt idx="3">
                  <c:v>116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CA-4F2C-9413-171F353FC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300672"/>
        <c:axId val="1480298752"/>
      </c:lineChart>
      <c:catAx>
        <c:axId val="14803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98752"/>
        <c:crosses val="autoZero"/>
        <c:auto val="1"/>
        <c:lblAlgn val="ctr"/>
        <c:lblOffset val="100"/>
        <c:noMultiLvlLbl val="0"/>
      </c:catAx>
      <c:valAx>
        <c:axId val="14802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3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data.xlsx]Computation Time!PivotTable3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'Computation Time'!$B$3:$B$4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'Computation Time'!$A$5:$A$10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'Computation Time'!$B$5:$B$10</c:f>
              <c:numCache>
                <c:formatCode>0.0</c:formatCode>
                <c:ptCount val="5"/>
                <c:pt idx="0">
                  <c:v>34.121800010325387</c:v>
                </c:pt>
                <c:pt idx="1">
                  <c:v>134.3607000017073</c:v>
                </c:pt>
                <c:pt idx="2">
                  <c:v>205.64399998693261</c:v>
                </c:pt>
                <c:pt idx="3">
                  <c:v>367.95074999099597</c:v>
                </c:pt>
                <c:pt idx="4">
                  <c:v>510.77569999324623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5-49D1-8BB8-A1C5DBCFDF89}"/>
            </c:ext>
          </c:extLst>
        </c:ser>
        <c:ser>
          <c:idx val="1"/>
          <c:order val="1"/>
          <c:tx>
            <c:strRef>
              <c:f>'Computation Time'!$C$3:$C$4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'Computation Time'!$A$5:$A$10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'Computation Time'!$C$5:$C$10</c:f>
              <c:numCache>
                <c:formatCode>0.0</c:formatCode>
                <c:ptCount val="5"/>
                <c:pt idx="0">
                  <c:v>36.232950005796738</c:v>
                </c:pt>
                <c:pt idx="1">
                  <c:v>214.30150000378489</c:v>
                </c:pt>
                <c:pt idx="2">
                  <c:v>446.66235000477172</c:v>
                </c:pt>
                <c:pt idx="3">
                  <c:v>512.81455000571441</c:v>
                </c:pt>
                <c:pt idx="4">
                  <c:v>5223.2091500045499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5-49D1-8BB8-A1C5DBCFDF89}"/>
            </c:ext>
          </c:extLst>
        </c:ser>
        <c:ser>
          <c:idx val="2"/>
          <c:order val="2"/>
          <c:tx>
            <c:strRef>
              <c:f>'Computation Time'!$D$3:$D$4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'Computation Time'!$A$5:$A$10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'Computation Time'!$D$5:$D$10</c:f>
              <c:numCache>
                <c:formatCode>0.0</c:formatCode>
                <c:ptCount val="5"/>
                <c:pt idx="0">
                  <c:v>57.588099982240237</c:v>
                </c:pt>
                <c:pt idx="1">
                  <c:v>847.86670000175945</c:v>
                </c:pt>
                <c:pt idx="2">
                  <c:v>550.28124999080319</c:v>
                </c:pt>
                <c:pt idx="3">
                  <c:v>2184.3799500202294</c:v>
                </c:pt>
                <c:pt idx="4">
                  <c:v>14285.652949998621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5-49D1-8BB8-A1C5DBCFDF89}"/>
            </c:ext>
          </c:extLst>
        </c:ser>
        <c:ser>
          <c:idx val="3"/>
          <c:order val="3"/>
          <c:tx>
            <c:strRef>
              <c:f>'Computation Time'!$E$3:$E$4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'Computation Time'!$A$5:$A$10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'Computation Time'!$E$5:$E$10</c:f>
              <c:numCache>
                <c:formatCode>0.0</c:formatCode>
                <c:ptCount val="5"/>
                <c:pt idx="0">
                  <c:v>104.88315000839066</c:v>
                </c:pt>
                <c:pt idx="1">
                  <c:v>1056.5540499956114</c:v>
                </c:pt>
                <c:pt idx="2">
                  <c:v>3797.2467000072356</c:v>
                </c:pt>
                <c:pt idx="3">
                  <c:v>37958.762599999318</c:v>
                </c:pt>
                <c:pt idx="4">
                  <c:v>120010.14875000692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45-49D1-8BB8-A1C5DBCFD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42032"/>
        <c:axId val="1542054032"/>
      </c:lineChart>
      <c:catAx>
        <c:axId val="154204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54032"/>
        <c:crosses val="autoZero"/>
        <c:auto val="1"/>
        <c:lblAlgn val="ctr"/>
        <c:lblOffset val="100"/>
        <c:noMultiLvlLbl val="0"/>
      </c:catAx>
      <c:valAx>
        <c:axId val="15420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4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data.xlsx]Astar!PivotTable6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Astar!$B$3:$B$4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Astar!$A$5:$A$10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Astar!$B$5:$B$10</c:f>
              <c:numCache>
                <c:formatCode>0</c:formatCode>
                <c:ptCount val="5"/>
                <c:pt idx="0">
                  <c:v>707.5</c:v>
                </c:pt>
                <c:pt idx="1">
                  <c:v>2928.5</c:v>
                </c:pt>
                <c:pt idx="2">
                  <c:v>4082.5</c:v>
                </c:pt>
                <c:pt idx="3">
                  <c:v>6441.5</c:v>
                </c:pt>
                <c:pt idx="4">
                  <c:v>11886.5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A-4745-A9F8-0105D0A2D218}"/>
            </c:ext>
          </c:extLst>
        </c:ser>
        <c:ser>
          <c:idx val="1"/>
          <c:order val="1"/>
          <c:tx>
            <c:strRef>
              <c:f>Astar!$C$3:$C$4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Astar!$A$5:$A$10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Astar!$C$5:$C$10</c:f>
              <c:numCache>
                <c:formatCode>0</c:formatCode>
                <c:ptCount val="5"/>
                <c:pt idx="0">
                  <c:v>946</c:v>
                </c:pt>
                <c:pt idx="1">
                  <c:v>5423.5</c:v>
                </c:pt>
                <c:pt idx="2">
                  <c:v>12021.5</c:v>
                </c:pt>
                <c:pt idx="3">
                  <c:v>12011.5</c:v>
                </c:pt>
                <c:pt idx="4">
                  <c:v>149847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A-4745-A9F8-0105D0A2D218}"/>
            </c:ext>
          </c:extLst>
        </c:ser>
        <c:ser>
          <c:idx val="2"/>
          <c:order val="2"/>
          <c:tx>
            <c:strRef>
              <c:f>Astar!$D$3:$D$4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Astar!$A$5:$A$10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Astar!$D$5:$D$10</c:f>
              <c:numCache>
                <c:formatCode>0</c:formatCode>
                <c:ptCount val="5"/>
                <c:pt idx="0">
                  <c:v>1560</c:v>
                </c:pt>
                <c:pt idx="1">
                  <c:v>22800.5</c:v>
                </c:pt>
                <c:pt idx="2">
                  <c:v>15471</c:v>
                </c:pt>
                <c:pt idx="3">
                  <c:v>69912</c:v>
                </c:pt>
                <c:pt idx="4">
                  <c:v>1146410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0A-4745-A9F8-0105D0A2D218}"/>
            </c:ext>
          </c:extLst>
        </c:ser>
        <c:ser>
          <c:idx val="3"/>
          <c:order val="3"/>
          <c:tx>
            <c:strRef>
              <c:f>Astar!$E$3:$E$4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Astar!$A$5:$A$10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Astar!$E$5:$E$10</c:f>
              <c:numCache>
                <c:formatCode>0</c:formatCode>
                <c:ptCount val="5"/>
                <c:pt idx="0">
                  <c:v>4345.5</c:v>
                </c:pt>
                <c:pt idx="1">
                  <c:v>40366.5</c:v>
                </c:pt>
                <c:pt idx="2">
                  <c:v>299238.5</c:v>
                </c:pt>
                <c:pt idx="3">
                  <c:v>3543587</c:v>
                </c:pt>
                <c:pt idx="4">
                  <c:v>12606169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A-4745-A9F8-0105D0A2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66992"/>
        <c:axId val="1542062192"/>
      </c:lineChart>
      <c:catAx>
        <c:axId val="15420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62192"/>
        <c:crosses val="autoZero"/>
        <c:auto val="1"/>
        <c:lblAlgn val="ctr"/>
        <c:lblOffset val="100"/>
        <c:noMultiLvlLbl val="0"/>
      </c:catAx>
      <c:valAx>
        <c:axId val="154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data.xlsx]DSS!PivotTable9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DSS!$B$3:$B$4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DSS!$A$5:$A$10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DSS!$B$5:$B$10</c:f>
              <c:numCache>
                <c:formatCode>0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24</c:v>
                </c:pt>
                <c:pt idx="3">
                  <c:v>46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F-4195-ABD2-C0008B2628CB}"/>
            </c:ext>
          </c:extLst>
        </c:ser>
        <c:ser>
          <c:idx val="1"/>
          <c:order val="1"/>
          <c:tx>
            <c:strRef>
              <c:f>DSS!$C$3:$C$4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DSS!$A$5:$A$10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DSS!$C$5:$C$10</c:f>
              <c:numCache>
                <c:formatCode>0</c:formatCode>
                <c:ptCount val="5"/>
                <c:pt idx="0">
                  <c:v>6</c:v>
                </c:pt>
                <c:pt idx="1">
                  <c:v>30</c:v>
                </c:pt>
                <c:pt idx="2">
                  <c:v>63</c:v>
                </c:pt>
                <c:pt idx="3">
                  <c:v>77.5</c:v>
                </c:pt>
                <c:pt idx="4">
                  <c:v>758.5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F-4195-ABD2-C0008B2628CB}"/>
            </c:ext>
          </c:extLst>
        </c:ser>
        <c:ser>
          <c:idx val="2"/>
          <c:order val="2"/>
          <c:tx>
            <c:strRef>
              <c:f>DSS!$D$3:$D$4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DSS!$A$5:$A$10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DSS!$D$5:$D$10</c:f>
              <c:numCache>
                <c:formatCode>0</c:formatCode>
                <c:ptCount val="5"/>
                <c:pt idx="0">
                  <c:v>8.5</c:v>
                </c:pt>
                <c:pt idx="1">
                  <c:v>93.5</c:v>
                </c:pt>
                <c:pt idx="2">
                  <c:v>87</c:v>
                </c:pt>
                <c:pt idx="3">
                  <c:v>345.5</c:v>
                </c:pt>
                <c:pt idx="4">
                  <c:v>1402.5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F-4195-ABD2-C0008B2628CB}"/>
            </c:ext>
          </c:extLst>
        </c:ser>
        <c:ser>
          <c:idx val="3"/>
          <c:order val="3"/>
          <c:tx>
            <c:strRef>
              <c:f>DSS!$E$3:$E$4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DSS!$A$5:$A$10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DSS!$E$5:$E$10</c:f>
              <c:numCache>
                <c:formatCode>0</c:formatCode>
                <c:ptCount val="5"/>
                <c:pt idx="0">
                  <c:v>23</c:v>
                </c:pt>
                <c:pt idx="1">
                  <c:v>230</c:v>
                </c:pt>
                <c:pt idx="2">
                  <c:v>751</c:v>
                </c:pt>
                <c:pt idx="3">
                  <c:v>1879</c:v>
                </c:pt>
                <c:pt idx="4">
                  <c:v>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F-4195-ABD2-C0008B262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71312"/>
        <c:axId val="1542068432"/>
      </c:lineChart>
      <c:catAx>
        <c:axId val="154207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68432"/>
        <c:crosses val="autoZero"/>
        <c:auto val="1"/>
        <c:lblAlgn val="ctr"/>
        <c:lblOffset val="100"/>
        <c:noMultiLvlLbl val="0"/>
      </c:catAx>
      <c:valAx>
        <c:axId val="15420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7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data.xlsx]CBS!PivotTable10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CBS!$B$3:$B$4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CBS!$A$5:$A$10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CBS!$B$5:$B$10</c:f>
              <c:numCache>
                <c:formatCode>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4.5</c:v>
                </c:pt>
                <c:pt idx="3">
                  <c:v>9.5</c:v>
                </c:pt>
                <c:pt idx="4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7-4F4F-A830-8E356505647B}"/>
            </c:ext>
          </c:extLst>
        </c:ser>
        <c:ser>
          <c:idx val="1"/>
          <c:order val="1"/>
          <c:tx>
            <c:strRef>
              <c:f>CBS!$C$3:$C$4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CBS!$A$5:$A$10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CBS!$C$5:$C$10</c:f>
              <c:numCache>
                <c:formatCode>0</c:formatCode>
                <c:ptCount val="5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10.5</c:v>
                </c:pt>
                <c:pt idx="4">
                  <c:v>121.5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7-4F4F-A830-8E356505647B}"/>
            </c:ext>
          </c:extLst>
        </c:ser>
        <c:ser>
          <c:idx val="2"/>
          <c:order val="2"/>
          <c:tx>
            <c:strRef>
              <c:f>CBS!$D$3:$D$4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CBS!$A$5:$A$10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CBS!$D$5:$D$10</c:f>
              <c:numCache>
                <c:formatCode>0</c:formatCode>
                <c:ptCount val="5"/>
                <c:pt idx="0">
                  <c:v>1</c:v>
                </c:pt>
                <c:pt idx="1">
                  <c:v>10.5</c:v>
                </c:pt>
                <c:pt idx="2">
                  <c:v>8.5</c:v>
                </c:pt>
                <c:pt idx="3">
                  <c:v>36</c:v>
                </c:pt>
                <c:pt idx="4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7-4F4F-A830-8E356505647B}"/>
            </c:ext>
          </c:extLst>
        </c:ser>
        <c:ser>
          <c:idx val="3"/>
          <c:order val="3"/>
          <c:tx>
            <c:strRef>
              <c:f>CBS!$E$3:$E$4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CBS!$A$5:$A$10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strCache>
            </c:strRef>
          </c:cat>
          <c:val>
            <c:numRef>
              <c:f>CBS!$E$5:$E$10</c:f>
              <c:numCache>
                <c:formatCode>0</c:formatCode>
                <c:ptCount val="5"/>
                <c:pt idx="0">
                  <c:v>1.5</c:v>
                </c:pt>
                <c:pt idx="1">
                  <c:v>11.5</c:v>
                </c:pt>
                <c:pt idx="2">
                  <c:v>34.5</c:v>
                </c:pt>
                <c:pt idx="3">
                  <c:v>113.5</c:v>
                </c:pt>
                <c:pt idx="4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C7-4F4F-A830-8E3565056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013712"/>
        <c:axId val="1542023312"/>
      </c:lineChart>
      <c:catAx>
        <c:axId val="15420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23312"/>
        <c:crosses val="autoZero"/>
        <c:auto val="1"/>
        <c:lblAlgn val="ctr"/>
        <c:lblOffset val="100"/>
        <c:noMultiLvlLbl val="0"/>
      </c:catAx>
      <c:valAx>
        <c:axId val="1542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1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185738</xdr:rowOff>
    </xdr:from>
    <xdr:to>
      <xdr:col>7</xdr:col>
      <xdr:colOff>9525</xdr:colOff>
      <xdr:row>25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C3F5B-E0B7-CD82-AAFF-9A771CC1F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4762</xdr:rowOff>
    </xdr:from>
    <xdr:to>
      <xdr:col>7</xdr:col>
      <xdr:colOff>133350</xdr:colOff>
      <xdr:row>50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91244-76FD-9E9A-82C3-2C3DA9CF0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4762</xdr:rowOff>
    </xdr:from>
    <xdr:to>
      <xdr:col>6</xdr:col>
      <xdr:colOff>400050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CC3DD-7E66-FA0C-3950-933CCBEF3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185737</xdr:rowOff>
    </xdr:from>
    <xdr:to>
      <xdr:col>6</xdr:col>
      <xdr:colOff>571500</xdr:colOff>
      <xdr:row>50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AAEB2-6647-8802-0937-D76EA1AEE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4762</xdr:rowOff>
    </xdr:from>
    <xdr:to>
      <xdr:col>6</xdr:col>
      <xdr:colOff>0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5BD31-0197-2882-D3FE-06DA915BE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14287</xdr:rowOff>
    </xdr:from>
    <xdr:to>
      <xdr:col>6</xdr:col>
      <xdr:colOff>390525</xdr:colOff>
      <xdr:row>25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57164-6B32-A6EB-3EFE-4A348589D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4762</xdr:rowOff>
    </xdr:from>
    <xdr:to>
      <xdr:col>7</xdr:col>
      <xdr:colOff>381000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EFA94-6E9E-61B5-969F-586B933B7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14287</xdr:rowOff>
    </xdr:from>
    <xdr:to>
      <xdr:col>7</xdr:col>
      <xdr:colOff>514350</xdr:colOff>
      <xdr:row>25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DD402-ADFD-C077-20E5-5203AC895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aar Bimasakti" refreshedDate="46015.459109722222" createdVersion="8" refreshedVersion="8" minRefreshableVersion="3" recordCount="400" xr:uid="{1E473AF1-5AD5-4474-86ED-797EE023069D}">
  <cacheSource type="worksheet">
    <worksheetSource name="mgcbs_results_summary"/>
  </cacheSource>
  <cacheFields count="13">
    <cacheField name="iteration" numFmtId="0">
      <sharedItems containsSemiMixedTypes="0" containsString="0" containsNumber="1" containsInteger="1" minValue="1" maxValue="20"/>
    </cacheField>
    <cacheField name="num_agents" numFmtId="0">
      <sharedItems containsSemiMixedTypes="0" containsString="0" containsNumber="1" containsInteger="1" minValue="2" maxValue="8" count="5">
        <n v="2"/>
        <n v="4"/>
        <n v="5"/>
        <n v="6"/>
        <n v="8"/>
      </sharedItems>
    </cacheField>
    <cacheField name="tasks_per_agent" numFmtId="0">
      <sharedItems containsSemiMixedTypes="0" containsString="0" containsNumber="1" containsInteger="1" minValue="1" maxValue="5" count="4">
        <n v="1"/>
        <n v="2"/>
        <n v="3"/>
        <n v="5"/>
      </sharedItems>
    </cacheField>
    <cacheField name="soc" numFmtId="0">
      <sharedItems containsString="0" containsBlank="1" containsNumber="1" containsInteger="1" minValue="76" maxValue="817"/>
    </cacheField>
    <cacheField name="makespan" numFmtId="0">
      <sharedItems containsString="0" containsBlank="1" containsNumber="1" containsInteger="1" minValue="42" maxValue="132"/>
    </cacheField>
    <cacheField name="horizon" numFmtId="0">
      <sharedItems containsSemiMixedTypes="0" containsString="0" containsNumber="1" containsInteger="1" minValue="136" maxValue="604"/>
    </cacheField>
    <cacheField name="elapsed_ms" numFmtId="0">
      <sharedItems containsString="0" containsBlank="1" containsNumber="1" minValue="19.225800002459437" maxValue="120017.52140000463"/>
    </cacheField>
    <cacheField name="notes" numFmtId="0">
      <sharedItems/>
    </cacheField>
    <cacheField name="astar_states" numFmtId="0">
      <sharedItems containsString="0" containsBlank="1" containsNumber="1" containsInteger="1" minValue="335" maxValue="14596984"/>
    </cacheField>
    <cacheField name="lowlevel_states" numFmtId="0">
      <sharedItems containsString="0" containsBlank="1" containsNumber="1" containsInteger="1" minValue="4" maxValue="14647"/>
    </cacheField>
    <cacheField name="cbs_nodes" numFmtId="0">
      <sharedItems containsString="0" containsBlank="1" containsNumber="1" containsInteger="1" minValue="1" maxValue="2258"/>
    </cacheField>
    <cacheField name="seed" numFmtId="0">
      <sharedItems containsSemiMixedTypes="0" containsString="0" containsNumber="1" containsInteger="1" minValue="1021" maxValue="20085"/>
    </cacheField>
    <cacheField name="status" numFmtId="0">
      <sharedItems count="2">
        <s v="success"/>
        <s v="fai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4768518" backgroundQuery="1" createdVersion="8" refreshedVersion="8" minRefreshableVersion="3" recordCount="0" supportSubquery="1" supportAdvancedDrill="1" xr:uid="{63C3D491-C049-43A6-ABA2-8729556C6B09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CBS]" caption="Median CBS" numFmtId="0" hierarchy="18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 oneField="1">
      <fieldsUsage count="1">
        <fieldUsage x="2"/>
      </fieldsUsage>
    </cacheHierarchy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5694442" backgroundQuery="1" createdVersion="8" refreshedVersion="8" minRefreshableVersion="3" recordCount="0" supportSubquery="1" supportAdvancedDrill="1" xr:uid="{F95B9E63-F035-4B42-A807-7707F19FA3BA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cbs_nodes]" caption="Max of cbs_nodes" numFmtId="0" hierarchy="40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6504627" backgroundQuery="1" createdVersion="8" refreshedVersion="8" minRefreshableVersion="3" recordCount="0" supportSubquery="1" supportAdvancedDrill="1" xr:uid="{C039553B-8757-49B1-BA24-BCE1C7955464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cbs_nodes]" caption="Min of cbs_nodes" numFmtId="0" hierarchy="39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7314812" backgroundQuery="1" createdVersion="8" refreshedVersion="8" minRefreshableVersion="3" recordCount="0" supportSubquery="1" supportAdvancedDrill="1" xr:uid="{52554DCD-8CB1-4F67-AD4E-56D8C207AEBE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DSS]" caption="Median DSS" numFmtId="0" hierarchy="17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 oneField="1">
      <fieldsUsage count="1">
        <fieldUsage x="2"/>
      </fieldsUsage>
    </cacheHierarchy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8124997" backgroundQuery="1" createdVersion="8" refreshedVersion="8" minRefreshableVersion="3" recordCount="0" supportSubquery="1" supportAdvancedDrill="1" xr:uid="{8DAEB86D-2B71-4134-B3D6-B0F63B3BF871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lowlevel_states]" caption="Max of lowlevel_states" numFmtId="0" hierarchy="36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8935183" backgroundQuery="1" createdVersion="8" refreshedVersion="8" minRefreshableVersion="3" recordCount="0" supportSubquery="1" supportAdvancedDrill="1" xr:uid="{87A04B80-754F-4372-8EE4-9C66AF859549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lowlevel_states]" caption="Min of lowlevel_states" numFmtId="0" hierarchy="37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79745368" backgroundQuery="1" createdVersion="8" refreshedVersion="8" minRefreshableVersion="3" recordCount="0" supportSubquery="1" supportAdvancedDrill="1" xr:uid="{F47C510C-06B3-4359-8A5A-E58D35A7CC96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Astar]" caption="Median Astar" numFmtId="0" hierarchy="16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 oneField="1">
      <fieldsUsage count="1">
        <fieldUsage x="2"/>
      </fieldsUsage>
    </cacheHierarchy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0555553" backgroundQuery="1" createdVersion="8" refreshedVersion="8" minRefreshableVersion="3" recordCount="0" supportSubquery="1" supportAdvancedDrill="1" xr:uid="{D52DE88F-3F6B-41E1-B63F-8AA9DE046BAD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astar_states]" caption="Max of astar_states" numFmtId="0" hierarchy="34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1365738" backgroundQuery="1" createdVersion="8" refreshedVersion="8" minRefreshableVersion="3" recordCount="0" supportSubquery="1" supportAdvancedDrill="1" xr:uid="{14D954C9-86DC-4946-B7AC-8D9D2B3A3D9B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astar_states]" caption="Min of astar_states" numFmtId="0" hierarchy="33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2291669" backgroundQuery="1" createdVersion="8" refreshedVersion="8" minRefreshableVersion="3" recordCount="0" supportSubquery="1" supportAdvancedDrill="1" xr:uid="{1CAD9E1E-339A-4B1F-8B46-F9D72BA2C834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Time Elapsed]" caption="Median Time Elapsed" numFmtId="0" hierarchy="15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 oneField="1">
      <fieldsUsage count="1">
        <fieldUsage x="2"/>
      </fieldsUsage>
    </cacheHierarchy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3101854" backgroundQuery="1" createdVersion="8" refreshedVersion="8" minRefreshableVersion="3" recordCount="0" supportSubquery="1" supportAdvancedDrill="1" xr:uid="{41AB064C-4170-4621-AEA3-63E7678F53A1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elapsed_ms]" caption="Max of elapsed_ms" numFmtId="0" hierarchy="31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4027778" backgroundQuery="1" createdVersion="8" refreshedVersion="8" minRefreshableVersion="3" recordCount="0" supportSubquery="1" supportAdvancedDrill="1" xr:uid="{E8E363C3-29AA-4D36-8694-2821E3C86399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elapsed_ms]" caption="Min of elapsed_ms" numFmtId="0" hierarchy="30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4837963" backgroundQuery="1" createdVersion="8" refreshedVersion="8" minRefreshableVersion="3" recordCount="0" supportSubquery="1" supportAdvancedDrill="1" xr:uid="{4CDE143F-B099-478C-A779-F5DA1E55AAEA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Average of makespan]" caption="Average of makespan" numFmtId="0" hierarchy="26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553241" backgroundQuery="1" createdVersion="8" refreshedVersion="8" minRefreshableVersion="3" recordCount="0" supportSubquery="1" supportAdvancedDrill="1" xr:uid="{C337B4E8-696F-4DBA-B7F0-FEB719168B87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makespan]" caption="Max of makespan" numFmtId="0" hierarchy="27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6342595" backgroundQuery="1" createdVersion="8" refreshedVersion="8" minRefreshableVersion="3" recordCount="0" supportSubquery="1" supportAdvancedDrill="1" xr:uid="{FAA8CA87-EE51-433F-8BDD-2C7C319DAE0B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makespan]" caption="Min of makespan" numFmtId="0" hierarchy="28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715278" backgroundQuery="1" createdVersion="8" refreshedVersion="8" minRefreshableVersion="3" recordCount="0" supportSubquery="1" supportAdvancedDrill="1" xr:uid="{F557F186-E175-418A-891B-D64523BB5FA7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Makespan]" caption="Median Makespan" numFmtId="0" hierarchy="13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 oneField="1">
      <fieldsUsage count="1">
        <fieldUsage x="2"/>
      </fieldsUsage>
    </cacheHierarchy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7962965" backgroundQuery="1" createdVersion="8" refreshedVersion="8" minRefreshableVersion="3" recordCount="0" supportSubquery="1" supportAdvancedDrill="1" xr:uid="{57861998-A3A2-4095-AC45-73B9CD9F2F23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Average of soc]" caption="Average of soc" numFmtId="0" hierarchy="22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8888889" backgroundQuery="1" createdVersion="8" refreshedVersion="8" minRefreshableVersion="3" recordCount="0" supportSubquery="1" supportAdvancedDrill="1" xr:uid="{46648CC2-9946-4F63-82E0-101FB80BCC1C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ax of soc]" caption="Max of soc" numFmtId="0" hierarchy="24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89699074" backgroundQuery="1" createdVersion="8" refreshedVersion="8" minRefreshableVersion="3" recordCount="0" supportSubquery="1" supportAdvancedDrill="1" xr:uid="{F201E334-6575-4A2E-A8C3-AB96FCA3D588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in of soc]" caption="Min of soc" numFmtId="0" hierarchy="23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90509259" backgroundQuery="1" createdVersion="8" refreshedVersion="8" minRefreshableVersion="3" recordCount="0" supportSubquery="1" supportAdvancedDrill="1" xr:uid="{97EA77D0-2272-4660-9FF7-0F20E8BE016B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Median SoC]" caption="Median SoC" numFmtId="0" hierarchy="14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 oneField="1">
      <fieldsUsage count="1">
        <fieldUsage x="2"/>
      </fieldsUsage>
    </cacheHierarchy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raar Bimasakti" refreshedDate="46015.460091319444" backgroundQuery="1" createdVersion="8" refreshedVersion="8" minRefreshableVersion="3" recordCount="0" supportSubquery="1" supportAdvancedDrill="1" xr:uid="{7711B4D3-4A33-4DCD-8771-6A0C1E1F2617}">
  <cacheSource type="external" connectionId="2"/>
  <cacheFields count="3">
    <cacheField name="[mgcbs_results_summary].[num_agents].[num_agents]" caption="num_agents" numFmtId="0" hierarchy="1" level="1">
      <sharedItems containsSemiMixedTypes="0" containsString="0" containsNumber="1" containsInteger="1" minValue="2" maxValue="8" count="5">
        <n v="2"/>
        <n v="4"/>
        <n v="5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num_agents].&amp;[2]"/>
            <x15:cachedUniqueName index="1" name="[mgcbs_results_summary].[num_agents].&amp;[4]"/>
            <x15:cachedUniqueName index="2" name="[mgcbs_results_summary].[num_agents].&amp;[5]"/>
            <x15:cachedUniqueName index="3" name="[mgcbs_results_summary].[num_agents].&amp;[6]"/>
            <x15:cachedUniqueName index="4" name="[mgcbs_results_summary].[num_agents].&amp;[8]"/>
          </x15:cachedUniqueNames>
        </ext>
      </extLst>
    </cacheField>
    <cacheField name="[mgcbs_results_summary].[tasks_per_agent].[tasks_per_agent]" caption="tasks_per_agent" numFmtId="0" hierarchy="2" level="1">
      <sharedItems containsSemiMixedTypes="0" containsString="0" containsNumber="1" containsInteger="1" minValue="1" maxValue="5" count="4">
        <n v="1"/>
        <n v="2"/>
        <n v="3"/>
        <n v="5"/>
      </sharedItems>
      <extLst>
        <ext xmlns:x15="http://schemas.microsoft.com/office/spreadsheetml/2010/11/main" uri="{4F2E5C28-24EA-4eb8-9CBF-B6C8F9C3D259}">
          <x15:cachedUniqueNames>
            <x15:cachedUniqueName index="0" name="[mgcbs_results_summary].[tasks_per_agent].&amp;[1]"/>
            <x15:cachedUniqueName index="1" name="[mgcbs_results_summary].[tasks_per_agent].&amp;[2]"/>
            <x15:cachedUniqueName index="2" name="[mgcbs_results_summary].[tasks_per_agent].&amp;[3]"/>
            <x15:cachedUniqueName index="3" name="[mgcbs_results_summary].[tasks_per_agent].&amp;[5]"/>
          </x15:cachedUniqueNames>
        </ext>
      </extLst>
    </cacheField>
    <cacheField name="[Measures].[StdDev of soc]" caption="StdDev of soc" numFmtId="0" hierarchy="41" level="32767"/>
  </cacheFields>
  <cacheHierarchies count="43">
    <cacheHierarchy uniqueName="[mgcbs_results_summary].[iteration]" caption="iteration" attribute="1" defaultMemberUniqueName="[mgcbs_results_summary].[iteration].[All]" allUniqueName="[mgcbs_results_summary].[iteration].[All]" dimensionUniqueName="[mgcbs_results_summary]" displayFolder="" count="0" memberValueDatatype="20" unbalanced="0"/>
    <cacheHierarchy uniqueName="[mgcbs_results_summary].[num_agents]" caption="num_agents" attribute="1" defaultMemberUniqueName="[mgcbs_results_summary].[num_agents].[All]" allUniqueName="[mgcbs_results_summary].[num_agents].[All]" dimensionUniqueName="[mgcbs_results_summary]" displayFolder="" count="2" memberValueDatatype="20" unbalanced="0">
      <fieldsUsage count="2">
        <fieldUsage x="-1"/>
        <fieldUsage x="0"/>
      </fieldsUsage>
    </cacheHierarchy>
    <cacheHierarchy uniqueName="[mgcbs_results_summary].[tasks_per_agent]" caption="tasks_per_agent" attribute="1" defaultMemberUniqueName="[mgcbs_results_summary].[tasks_per_agent].[All]" allUniqueName="[mgcbs_results_summary].[tasks_per_agent].[All]" dimensionUniqueName="[mgcbs_results_summary]" displayFolder="" count="2" memberValueDatatype="20" unbalanced="0">
      <fieldsUsage count="2">
        <fieldUsage x="-1"/>
        <fieldUsage x="1"/>
      </fieldsUsage>
    </cacheHierarchy>
    <cacheHierarchy uniqueName="[mgcbs_results_summary].[soc]" caption="soc" attribute="1" defaultMemberUniqueName="[mgcbs_results_summary].[soc].[All]" allUniqueName="[mgcbs_results_summary].[soc].[All]" dimensionUniqueName="[mgcbs_results_summary]" displayFolder="" count="0" memberValueDatatype="20" unbalanced="0"/>
    <cacheHierarchy uniqueName="[mgcbs_results_summary].[makespan]" caption="makespan" attribute="1" defaultMemberUniqueName="[mgcbs_results_summary].[makespan].[All]" allUniqueName="[mgcbs_results_summary].[makespan].[All]" dimensionUniqueName="[mgcbs_results_summary]" displayFolder="" count="0" memberValueDatatype="20" unbalanced="0"/>
    <cacheHierarchy uniqueName="[mgcbs_results_summary].[horizon]" caption="horizon" attribute="1" defaultMemberUniqueName="[mgcbs_results_summary].[horizon].[All]" allUniqueName="[mgcbs_results_summary].[horizon].[All]" dimensionUniqueName="[mgcbs_results_summary]" displayFolder="" count="0" memberValueDatatype="20" unbalanced="0"/>
    <cacheHierarchy uniqueName="[mgcbs_results_summary].[elapsed_ms]" caption="elapsed_ms" attribute="1" defaultMemberUniqueName="[mgcbs_results_summary].[elapsed_ms].[All]" allUniqueName="[mgcbs_results_summary].[elapsed_ms].[All]" dimensionUniqueName="[mgcbs_results_summary]" displayFolder="" count="0" memberValueDatatype="5" unbalanced="0"/>
    <cacheHierarchy uniqueName="[mgcbs_results_summary].[notes]" caption="notes" attribute="1" defaultMemberUniqueName="[mgcbs_results_summary].[notes].[All]" allUniqueName="[mgcbs_results_summary].[notes].[All]" dimensionUniqueName="[mgcbs_results_summary]" displayFolder="" count="0" memberValueDatatype="130" unbalanced="0"/>
    <cacheHierarchy uniqueName="[mgcbs_results_summary].[astar_states]" caption="astar_states" attribute="1" defaultMemberUniqueName="[mgcbs_results_summary].[astar_states].[All]" allUniqueName="[mgcbs_results_summary].[astar_states].[All]" dimensionUniqueName="[mgcbs_results_summary]" displayFolder="" count="0" memberValueDatatype="20" unbalanced="0"/>
    <cacheHierarchy uniqueName="[mgcbs_results_summary].[lowlevel_states]" caption="lowlevel_states" attribute="1" defaultMemberUniqueName="[mgcbs_results_summary].[lowlevel_states].[All]" allUniqueName="[mgcbs_results_summary].[lowlevel_states].[All]" dimensionUniqueName="[mgcbs_results_summary]" displayFolder="" count="0" memberValueDatatype="20" unbalanced="0"/>
    <cacheHierarchy uniqueName="[mgcbs_results_summary].[cbs_nodes]" caption="cbs_nodes" attribute="1" defaultMemberUniqueName="[mgcbs_results_summary].[cbs_nodes].[All]" allUniqueName="[mgcbs_results_summary].[cbs_nodes].[All]" dimensionUniqueName="[mgcbs_results_summary]" displayFolder="" count="0" memberValueDatatype="20" unbalanced="0"/>
    <cacheHierarchy uniqueName="[mgcbs_results_summary].[seed]" caption="seed" attribute="1" defaultMemberUniqueName="[mgcbs_results_summary].[seed].[All]" allUniqueName="[mgcbs_results_summary].[seed].[All]" dimensionUniqueName="[mgcbs_results_summary]" displayFolder="" count="0" memberValueDatatype="20" unbalanced="0"/>
    <cacheHierarchy uniqueName="[mgcbs_results_summary].[status]" caption="status" attribute="1" defaultMemberUniqueName="[mgcbs_results_summary].[status].[All]" allUniqueName="[mgcbs_results_summary].[status].[All]" dimensionUniqueName="[mgcbs_results_summary]" displayFolder="" count="0" memberValueDatatype="130" unbalanced="0"/>
    <cacheHierarchy uniqueName="[Measures].[Median Makespan]" caption="Median Makespan" measure="1" displayFolder="" measureGroup="mgcbs_results_summary" count="0"/>
    <cacheHierarchy uniqueName="[Measures].[Median SoC]" caption="Median SoC" measure="1" displayFolder="" measureGroup="mgcbs_results_summary" count="0"/>
    <cacheHierarchy uniqueName="[Measures].[Median Time Elapsed]" caption="Median Time Elapsed" measure="1" displayFolder="" measureGroup="mgcbs_results_summary" count="0"/>
    <cacheHierarchy uniqueName="[Measures].[Median Astar]" caption="Median Astar" measure="1" displayFolder="" measureGroup="mgcbs_results_summary" count="0"/>
    <cacheHierarchy uniqueName="[Measures].[Median DSS]" caption="Median DSS" measure="1" displayFolder="" measureGroup="mgcbs_results_summary" count="0"/>
    <cacheHierarchy uniqueName="[Measures].[Median CBS]" caption="Median CBS" measure="1" displayFolder="" measureGroup="mgcbs_results_summary" count="0"/>
    <cacheHierarchy uniqueName="[Measures].[__XL_Count mgcbs_results_summary]" caption="__XL_Count mgcbs_results_summary" measure="1" displayFolder="" measureGroup="mgcbs_results_summary" count="0" hidden="1"/>
    <cacheHierarchy uniqueName="[Measures].[__No measures defined]" caption="__No measures defined" measure="1" displayFolder="" count="0" hidden="1"/>
    <cacheHierarchy uniqueName="[Measures].[Sum of soc]" caption="Sum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oc]" caption="Average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oc]" caption="Min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soc]" caption="Max of soc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kespan]" caption="Sum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makespan]" caption="Average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akespan]" caption="Max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akespan]" caption="Min of makespan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lapsed_ms]" caption="Sum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elapsed_ms]" caption="Min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elapsed_ms]" caption="Max of elapsed_m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star_states]" caption="Sum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in of astar_states]" caption="Min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astar_states]" caption="Max of astar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wlevel_states]" caption="Sum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lowlevel_states]" caption="Max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lowlevel_states]" caption="Min of lowlevel_stat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bs_nodes]" caption="Sum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cbs_nodes]" caption="Min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cbs_nodes]" caption="Max of cbs_node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soc]" caption="StdDev of soc" measure="1" displayFolder="" measureGroup="mgcbs_result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atus]" caption="Count of status" measure="1" displayFolder="" measureGroup="mgcbs_results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mgcbs_results_summary" uniqueName="[mgcbs_results_summary]" caption="mgcbs_results_summary"/>
  </dimensions>
  <measureGroups count="1">
    <measureGroup name="mgcbs_results_summary" caption="mgcbs_result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x v="0"/>
    <n v="131"/>
    <n v="70"/>
    <n v="220"/>
    <n v="94.073299987940118"/>
    <s v=""/>
    <n v="2657"/>
    <n v="12"/>
    <n v="3"/>
    <n v="1021"/>
    <x v="0"/>
  </r>
  <r>
    <n v="1"/>
    <x v="0"/>
    <x v="1"/>
    <n v="133"/>
    <n v="68"/>
    <n v="208"/>
    <n v="31.774500006577"/>
    <s v=""/>
    <n v="966"/>
    <n v="6"/>
    <n v="1"/>
    <n v="1022"/>
    <x v="0"/>
  </r>
  <r>
    <n v="1"/>
    <x v="0"/>
    <x v="2"/>
    <n v="203"/>
    <n v="122"/>
    <n v="385"/>
    <n v="60.655099980067462"/>
    <s v=""/>
    <n v="2152"/>
    <n v="10"/>
    <n v="1"/>
    <n v="1023"/>
    <x v="0"/>
  </r>
  <r>
    <n v="1"/>
    <x v="0"/>
    <x v="3"/>
    <n v="210"/>
    <n v="107"/>
    <n v="397"/>
    <n v="207.0522999856621"/>
    <s v=""/>
    <n v="9279"/>
    <n v="58"/>
    <n v="3"/>
    <n v="1025"/>
    <x v="0"/>
  </r>
  <r>
    <n v="1"/>
    <x v="1"/>
    <x v="0"/>
    <n v="190"/>
    <n v="62"/>
    <n v="196"/>
    <n v="87.01770001789555"/>
    <s v=""/>
    <n v="1968"/>
    <n v="12"/>
    <n v="2"/>
    <n v="1041"/>
    <x v="0"/>
  </r>
  <r>
    <n v="1"/>
    <x v="1"/>
    <x v="1"/>
    <n v="257"/>
    <n v="76"/>
    <n v="304"/>
    <n v="209.67169999494217"/>
    <s v=""/>
    <n v="5644"/>
    <n v="30"/>
    <n v="4"/>
    <n v="1042"/>
    <x v="0"/>
  </r>
  <r>
    <n v="1"/>
    <x v="1"/>
    <x v="2"/>
    <n v="346"/>
    <n v="98"/>
    <n v="376"/>
    <n v="107.53229999681935"/>
    <s v=""/>
    <n v="3114"/>
    <n v="17"/>
    <n v="1"/>
    <n v="1043"/>
    <x v="0"/>
  </r>
  <r>
    <n v="1"/>
    <x v="1"/>
    <x v="3"/>
    <n v="386"/>
    <n v="112"/>
    <n v="502"/>
    <n v="2236.8868000048678"/>
    <s v=""/>
    <n v="74580"/>
    <n v="389"/>
    <n v="26"/>
    <n v="1045"/>
    <x v="0"/>
  </r>
  <r>
    <n v="1"/>
    <x v="2"/>
    <x v="0"/>
    <n v="347"/>
    <n v="85"/>
    <n v="265"/>
    <n v="240.55580000276677"/>
    <s v=""/>
    <n v="5773"/>
    <n v="26"/>
    <n v="5"/>
    <n v="1051"/>
    <x v="0"/>
  </r>
  <r>
    <n v="1"/>
    <x v="2"/>
    <x v="1"/>
    <n v="329"/>
    <n v="90"/>
    <n v="274"/>
    <n v="2146.1033999803476"/>
    <s v=""/>
    <n v="60800"/>
    <n v="338"/>
    <n v="53"/>
    <n v="1052"/>
    <x v="0"/>
  </r>
  <r>
    <n v="1"/>
    <x v="2"/>
    <x v="2"/>
    <n v="393"/>
    <n v="91"/>
    <n v="355"/>
    <n v="413.83489998406731"/>
    <s v=""/>
    <n v="10806"/>
    <n v="73"/>
    <n v="6"/>
    <n v="1053"/>
    <x v="0"/>
  </r>
  <r>
    <n v="1"/>
    <x v="2"/>
    <x v="3"/>
    <n v="499"/>
    <n v="118"/>
    <n v="481"/>
    <n v="2306.3735000032466"/>
    <s v=""/>
    <n v="87107"/>
    <n v="434"/>
    <n v="29"/>
    <n v="1055"/>
    <x v="0"/>
  </r>
  <r>
    <n v="1"/>
    <x v="3"/>
    <x v="0"/>
    <n v="399"/>
    <n v="78"/>
    <n v="244"/>
    <n v="404.94969999417663"/>
    <s v=""/>
    <n v="9147"/>
    <n v="48"/>
    <n v="10"/>
    <n v="1061"/>
    <x v="0"/>
  </r>
  <r>
    <n v="1"/>
    <x v="3"/>
    <x v="1"/>
    <n v="358"/>
    <n v="85"/>
    <n v="247"/>
    <n v="310.10519998380914"/>
    <s v=""/>
    <n v="6214"/>
    <n v="42"/>
    <n v="5"/>
    <n v="1062"/>
    <x v="0"/>
  </r>
  <r>
    <n v="1"/>
    <x v="3"/>
    <x v="2"/>
    <n v="515"/>
    <n v="98"/>
    <n v="346"/>
    <n v="12318.477199994959"/>
    <s v=""/>
    <n v="918446"/>
    <n v="1212"/>
    <n v="122"/>
    <n v="1063"/>
    <x v="0"/>
  </r>
  <r>
    <n v="1"/>
    <x v="3"/>
    <x v="3"/>
    <n v="586"/>
    <n v="106"/>
    <n v="424"/>
    <n v="3599.9237000069115"/>
    <s v=""/>
    <n v="102274"/>
    <n v="657"/>
    <n v="44"/>
    <n v="1065"/>
    <x v="0"/>
  </r>
  <r>
    <n v="1"/>
    <x v="4"/>
    <x v="0"/>
    <n v="432"/>
    <n v="101"/>
    <n v="313"/>
    <n v="986.72580000129528"/>
    <s v=""/>
    <n v="17188"/>
    <n v="96"/>
    <n v="21"/>
    <n v="1081"/>
    <x v="0"/>
  </r>
  <r>
    <n v="1"/>
    <x v="4"/>
    <x v="1"/>
    <n v="639"/>
    <n v="95"/>
    <n v="295"/>
    <n v="78997.865000012098"/>
    <s v=""/>
    <n v="2462114"/>
    <n v="10303"/>
    <n v="1689"/>
    <n v="1082"/>
    <x v="0"/>
  </r>
  <r>
    <n v="1"/>
    <x v="4"/>
    <x v="2"/>
    <m/>
    <m/>
    <n v="370"/>
    <m/>
    <s v="solver exceeded time limit"/>
    <m/>
    <m/>
    <m/>
    <n v="1083"/>
    <x v="1"/>
  </r>
  <r>
    <n v="1"/>
    <x v="4"/>
    <x v="3"/>
    <m/>
    <m/>
    <n v="484"/>
    <m/>
    <s v="solver exceeded time limit"/>
    <m/>
    <m/>
    <m/>
    <n v="1085"/>
    <x v="1"/>
  </r>
  <r>
    <n v="2"/>
    <x v="0"/>
    <x v="0"/>
    <n v="127"/>
    <n v="76"/>
    <n v="238"/>
    <n v="33.986199996434152"/>
    <s v=""/>
    <n v="635"/>
    <n v="4"/>
    <n v="1"/>
    <n v="2021"/>
    <x v="0"/>
  </r>
  <r>
    <n v="2"/>
    <x v="0"/>
    <x v="1"/>
    <n v="139"/>
    <n v="78"/>
    <n v="244"/>
    <n v="36.626200017053634"/>
    <s v=""/>
    <n v="1106"/>
    <n v="6"/>
    <n v="1"/>
    <n v="2022"/>
    <x v="0"/>
  </r>
  <r>
    <n v="2"/>
    <x v="0"/>
    <x v="2"/>
    <n v="140"/>
    <n v="79"/>
    <n v="259"/>
    <n v="74.149299995042384"/>
    <s v=""/>
    <n v="1999"/>
    <n v="16"/>
    <n v="2"/>
    <n v="2023"/>
    <x v="0"/>
  </r>
  <r>
    <n v="2"/>
    <x v="0"/>
    <x v="3"/>
    <n v="182"/>
    <n v="98"/>
    <n v="418"/>
    <n v="67.672200006200001"/>
    <s v=""/>
    <n v="2581"/>
    <n v="12"/>
    <n v="1"/>
    <n v="2025"/>
    <x v="0"/>
  </r>
  <r>
    <n v="2"/>
    <x v="1"/>
    <x v="0"/>
    <n v="270"/>
    <n v="88"/>
    <n v="274"/>
    <n v="156.16479999152943"/>
    <s v=""/>
    <n v="4161"/>
    <n v="16"/>
    <n v="3"/>
    <n v="2041"/>
    <x v="0"/>
  </r>
  <r>
    <n v="2"/>
    <x v="1"/>
    <x v="1"/>
    <n v="304"/>
    <n v="84"/>
    <n v="262"/>
    <n v="167.07280001719482"/>
    <s v=""/>
    <n v="7092"/>
    <n v="27"/>
    <n v="3"/>
    <n v="2042"/>
    <x v="0"/>
  </r>
  <r>
    <n v="2"/>
    <x v="1"/>
    <x v="2"/>
    <n v="352"/>
    <n v="98"/>
    <n v="346"/>
    <n v="2242.1518999908585"/>
    <s v=""/>
    <n v="299630"/>
    <n v="40"/>
    <n v="4"/>
    <n v="2043"/>
    <x v="0"/>
  </r>
  <r>
    <n v="2"/>
    <x v="1"/>
    <x v="3"/>
    <n v="427"/>
    <n v="118"/>
    <n v="433"/>
    <n v="299.45710001629777"/>
    <s v=""/>
    <n v="12379"/>
    <n v="61"/>
    <n v="3"/>
    <n v="2045"/>
    <x v="0"/>
  </r>
  <r>
    <n v="2"/>
    <x v="2"/>
    <x v="0"/>
    <n v="256"/>
    <n v="77"/>
    <n v="241"/>
    <n v="291.11389999161474"/>
    <s v=""/>
    <n v="5619"/>
    <n v="38"/>
    <n v="8"/>
    <n v="2051"/>
    <x v="0"/>
  </r>
  <r>
    <n v="2"/>
    <x v="2"/>
    <x v="1"/>
    <n v="331"/>
    <n v="86"/>
    <n v="268"/>
    <n v="247.82920000143349"/>
    <s v=""/>
    <n v="7104"/>
    <n v="43"/>
    <n v="5"/>
    <n v="2052"/>
    <x v="0"/>
  </r>
  <r>
    <n v="2"/>
    <x v="2"/>
    <x v="2"/>
    <n v="440"/>
    <n v="103"/>
    <n v="352"/>
    <n v="765.87010000366718"/>
    <s v=""/>
    <n v="24418"/>
    <n v="117"/>
    <n v="13"/>
    <n v="2053"/>
    <x v="0"/>
  </r>
  <r>
    <n v="2"/>
    <x v="2"/>
    <x v="3"/>
    <n v="499"/>
    <n v="120"/>
    <n v="442"/>
    <n v="1090.5425999953877"/>
    <s v=""/>
    <n v="50224"/>
    <n v="278"/>
    <n v="13"/>
    <n v="2055"/>
    <x v="0"/>
  </r>
  <r>
    <n v="2"/>
    <x v="3"/>
    <x v="0"/>
    <n v="333"/>
    <n v="74"/>
    <n v="232"/>
    <n v="910.06490000290796"/>
    <s v=""/>
    <n v="18289"/>
    <n v="108"/>
    <n v="25"/>
    <n v="2061"/>
    <x v="0"/>
  </r>
  <r>
    <n v="2"/>
    <x v="3"/>
    <x v="1"/>
    <n v="416"/>
    <n v="93"/>
    <n v="283"/>
    <n v="1475.6911000004038"/>
    <s v=""/>
    <n v="57722"/>
    <n v="198"/>
    <n v="31"/>
    <n v="2062"/>
    <x v="0"/>
  </r>
  <r>
    <n v="2"/>
    <x v="3"/>
    <x v="2"/>
    <n v="494"/>
    <n v="90"/>
    <n v="298"/>
    <n v="928.84020000929013"/>
    <s v=""/>
    <n v="56088"/>
    <n v="132"/>
    <n v="14"/>
    <n v="2063"/>
    <x v="0"/>
  </r>
  <r>
    <n v="2"/>
    <x v="3"/>
    <x v="3"/>
    <m/>
    <m/>
    <n v="418"/>
    <m/>
    <s v="solver exceeded time limit"/>
    <m/>
    <m/>
    <m/>
    <n v="2065"/>
    <x v="1"/>
  </r>
  <r>
    <n v="2"/>
    <x v="4"/>
    <x v="0"/>
    <n v="496"/>
    <n v="87"/>
    <n v="271"/>
    <n v="327.69720000214875"/>
    <s v=""/>
    <n v="7407"/>
    <n v="36"/>
    <n v="6"/>
    <n v="2081"/>
    <x v="0"/>
  </r>
  <r>
    <n v="2"/>
    <x v="4"/>
    <x v="1"/>
    <n v="571"/>
    <n v="89"/>
    <n v="310"/>
    <n v="597.11970001808368"/>
    <s v=""/>
    <n v="15336"/>
    <n v="84"/>
    <n v="11"/>
    <n v="2082"/>
    <x v="0"/>
  </r>
  <r>
    <n v="2"/>
    <x v="4"/>
    <x v="2"/>
    <n v="597"/>
    <n v="95"/>
    <n v="340"/>
    <n v="1819.4791999994777"/>
    <s v=""/>
    <n v="166704"/>
    <n v="153"/>
    <n v="14"/>
    <n v="2083"/>
    <x v="0"/>
  </r>
  <r>
    <n v="2"/>
    <x v="4"/>
    <x v="3"/>
    <m/>
    <m/>
    <n v="379"/>
    <m/>
    <s v="solver exceeded time limit"/>
    <m/>
    <m/>
    <m/>
    <n v="2085"/>
    <x v="1"/>
  </r>
  <r>
    <n v="3"/>
    <x v="0"/>
    <x v="0"/>
    <n v="154"/>
    <n v="103"/>
    <n v="319"/>
    <n v="89.03109998209402"/>
    <s v=""/>
    <n v="2473"/>
    <n v="8"/>
    <n v="2"/>
    <n v="3021"/>
    <x v="0"/>
  </r>
  <r>
    <n v="3"/>
    <x v="0"/>
    <x v="1"/>
    <n v="101"/>
    <n v="51"/>
    <n v="160"/>
    <n v="23.291799996513873"/>
    <s v=""/>
    <n v="682"/>
    <n v="6"/>
    <n v="1"/>
    <n v="3022"/>
    <x v="0"/>
  </r>
  <r>
    <n v="3"/>
    <x v="0"/>
    <x v="2"/>
    <n v="200"/>
    <n v="106"/>
    <n v="325"/>
    <n v="93.626399990171194"/>
    <s v=""/>
    <n v="3280"/>
    <n v="16"/>
    <n v="2"/>
    <n v="3023"/>
    <x v="0"/>
  </r>
  <r>
    <n v="3"/>
    <x v="0"/>
    <x v="3"/>
    <n v="195"/>
    <n v="103"/>
    <n v="295"/>
    <n v="52.563300007022917"/>
    <s v=""/>
    <n v="2725"/>
    <n v="15"/>
    <n v="1"/>
    <n v="3025"/>
    <x v="0"/>
  </r>
  <r>
    <n v="3"/>
    <x v="1"/>
    <x v="0"/>
    <n v="240"/>
    <n v="79"/>
    <n v="247"/>
    <n v="196.06059999205172"/>
    <s v=""/>
    <n v="4769"/>
    <n v="24"/>
    <n v="5"/>
    <n v="3041"/>
    <x v="0"/>
  </r>
  <r>
    <n v="3"/>
    <x v="1"/>
    <x v="1"/>
    <n v="332"/>
    <n v="93"/>
    <n v="280"/>
    <n v="3120.2461999782827"/>
    <s v=""/>
    <n v="108607"/>
    <n v="444"/>
    <n v="73"/>
    <n v="3042"/>
    <x v="0"/>
  </r>
  <r>
    <n v="3"/>
    <x v="1"/>
    <x v="2"/>
    <n v="288"/>
    <n v="95"/>
    <n v="373"/>
    <n v="838.175200013211"/>
    <s v=""/>
    <n v="23394"/>
    <n v="136"/>
    <n v="15"/>
    <n v="3043"/>
    <x v="0"/>
  </r>
  <r>
    <n v="3"/>
    <x v="1"/>
    <x v="3"/>
    <n v="388"/>
    <n v="102"/>
    <n v="460"/>
    <n v="25219.500399980461"/>
    <s v=""/>
    <n v="1690662"/>
    <n v="5624"/>
    <n v="262"/>
    <n v="3045"/>
    <x v="0"/>
  </r>
  <r>
    <n v="3"/>
    <x v="2"/>
    <x v="0"/>
    <n v="291"/>
    <n v="73"/>
    <n v="229"/>
    <n v="194.5244999951683"/>
    <s v=""/>
    <n v="3943"/>
    <n v="26"/>
    <n v="5"/>
    <n v="3051"/>
    <x v="0"/>
  </r>
  <r>
    <n v="3"/>
    <x v="2"/>
    <x v="1"/>
    <n v="298"/>
    <n v="81"/>
    <n v="241"/>
    <n v="243.6800999857951"/>
    <s v=""/>
    <n v="5817"/>
    <n v="45"/>
    <n v="6"/>
    <n v="3052"/>
    <x v="0"/>
  </r>
  <r>
    <n v="3"/>
    <x v="2"/>
    <x v="2"/>
    <n v="412"/>
    <n v="94"/>
    <n v="379"/>
    <n v="401.96899999864399"/>
    <s v=""/>
    <n v="12191"/>
    <n v="60"/>
    <n v="6"/>
    <n v="3053"/>
    <x v="0"/>
  </r>
  <r>
    <n v="3"/>
    <x v="2"/>
    <x v="3"/>
    <n v="485"/>
    <n v="115"/>
    <n v="520"/>
    <n v="1896.7815000214614"/>
    <s v=""/>
    <n v="66727"/>
    <n v="401"/>
    <n v="23"/>
    <n v="3055"/>
    <x v="0"/>
  </r>
  <r>
    <n v="3"/>
    <x v="3"/>
    <x v="0"/>
    <n v="282"/>
    <n v="78"/>
    <n v="244"/>
    <n v="340.4922999907285"/>
    <s v=""/>
    <n v="5544"/>
    <n v="44"/>
    <n v="9"/>
    <n v="3061"/>
    <x v="0"/>
  </r>
  <r>
    <n v="3"/>
    <x v="3"/>
    <x v="1"/>
    <n v="480"/>
    <n v="98"/>
    <n v="304"/>
    <n v="361.6123000101652"/>
    <s v=""/>
    <n v="9355"/>
    <n v="54"/>
    <n v="7"/>
    <n v="3062"/>
    <x v="0"/>
  </r>
  <r>
    <n v="3"/>
    <x v="3"/>
    <x v="2"/>
    <n v="520"/>
    <n v="97"/>
    <n v="340"/>
    <n v="18338.611799990758"/>
    <s v=""/>
    <n v="2360515"/>
    <n v="518"/>
    <n v="61"/>
    <n v="3063"/>
    <x v="0"/>
  </r>
  <r>
    <n v="3"/>
    <x v="3"/>
    <x v="3"/>
    <m/>
    <m/>
    <n v="430"/>
    <m/>
    <s v="solver exceeded time limit"/>
    <m/>
    <m/>
    <m/>
    <n v="3065"/>
    <x v="1"/>
  </r>
  <r>
    <n v="3"/>
    <x v="4"/>
    <x v="0"/>
    <n v="562"/>
    <n v="88"/>
    <n v="268"/>
    <n v="4281.3680999970529"/>
    <s v=""/>
    <n v="174281"/>
    <n v="396"/>
    <n v="96"/>
    <n v="3081"/>
    <x v="0"/>
  </r>
  <r>
    <n v="3"/>
    <x v="4"/>
    <x v="1"/>
    <n v="622"/>
    <n v="91"/>
    <n v="334"/>
    <n v="1432.0132999855559"/>
    <s v=""/>
    <n v="33023"/>
    <n v="186"/>
    <n v="28"/>
    <n v="3082"/>
    <x v="0"/>
  </r>
  <r>
    <n v="3"/>
    <x v="4"/>
    <x v="2"/>
    <n v="649"/>
    <n v="89"/>
    <n v="364"/>
    <n v="12716.625700006261"/>
    <s v=""/>
    <n v="980403"/>
    <n v="1619"/>
    <n v="146"/>
    <n v="3083"/>
    <x v="0"/>
  </r>
  <r>
    <n v="3"/>
    <x v="4"/>
    <x v="3"/>
    <m/>
    <m/>
    <n v="457"/>
    <m/>
    <s v="solver exceeded time limit"/>
    <m/>
    <m/>
    <m/>
    <n v="3085"/>
    <x v="1"/>
  </r>
  <r>
    <n v="4"/>
    <x v="0"/>
    <x v="0"/>
    <n v="157"/>
    <n v="99"/>
    <n v="307"/>
    <n v="47.35510001773946"/>
    <s v=""/>
    <n v="1279"/>
    <n v="4"/>
    <n v="1"/>
    <n v="4021"/>
    <x v="0"/>
  </r>
  <r>
    <n v="4"/>
    <x v="0"/>
    <x v="1"/>
    <n v="152"/>
    <n v="85"/>
    <n v="265"/>
    <n v="44.569099991349503"/>
    <s v=""/>
    <n v="1049"/>
    <n v="6"/>
    <n v="1"/>
    <n v="4022"/>
    <x v="0"/>
  </r>
  <r>
    <n v="4"/>
    <x v="0"/>
    <x v="2"/>
    <n v="156"/>
    <n v="82"/>
    <n v="304"/>
    <n v="47.7625000057742"/>
    <s v=""/>
    <n v="1204"/>
    <n v="8"/>
    <n v="1"/>
    <n v="4023"/>
    <x v="0"/>
  </r>
  <r>
    <n v="4"/>
    <x v="0"/>
    <x v="3"/>
    <n v="183"/>
    <n v="103"/>
    <n v="559"/>
    <n v="83.660900010727346"/>
    <s v=""/>
    <n v="2474"/>
    <n v="14"/>
    <n v="1"/>
    <n v="4025"/>
    <x v="0"/>
  </r>
  <r>
    <n v="4"/>
    <x v="1"/>
    <x v="0"/>
    <n v="263"/>
    <n v="88"/>
    <n v="274"/>
    <n v="113.14540001330897"/>
    <s v=""/>
    <n v="2316"/>
    <n v="12"/>
    <n v="2"/>
    <n v="4041"/>
    <x v="0"/>
  </r>
  <r>
    <n v="4"/>
    <x v="1"/>
    <x v="1"/>
    <n v="298"/>
    <n v="83"/>
    <n v="268"/>
    <n v="116.06339999707416"/>
    <s v=""/>
    <n v="3142"/>
    <n v="18"/>
    <n v="2"/>
    <n v="4042"/>
    <x v="0"/>
  </r>
  <r>
    <n v="4"/>
    <x v="1"/>
    <x v="2"/>
    <n v="287"/>
    <n v="84"/>
    <n v="358"/>
    <n v="3145.7693999982439"/>
    <s v=""/>
    <n v="113152"/>
    <n v="518"/>
    <n v="53"/>
    <n v="4043"/>
    <x v="0"/>
  </r>
  <r>
    <n v="4"/>
    <x v="1"/>
    <x v="3"/>
    <n v="395"/>
    <n v="110"/>
    <n v="481"/>
    <n v="61741.554700012784"/>
    <s v=""/>
    <n v="6062458"/>
    <n v="6801"/>
    <n v="341"/>
    <n v="4045"/>
    <x v="0"/>
  </r>
  <r>
    <n v="4"/>
    <x v="2"/>
    <x v="0"/>
    <n v="357"/>
    <n v="92"/>
    <n v="286"/>
    <n v="216.76349997869693"/>
    <s v=""/>
    <n v="5139"/>
    <n v="22"/>
    <n v="4"/>
    <n v="4051"/>
    <x v="0"/>
  </r>
  <r>
    <n v="4"/>
    <x v="2"/>
    <x v="1"/>
    <n v="408"/>
    <n v="103"/>
    <n v="370"/>
    <n v="360.78190000262111"/>
    <s v=""/>
    <n v="7489"/>
    <n v="45"/>
    <n v="6"/>
    <n v="4052"/>
    <x v="0"/>
  </r>
  <r>
    <n v="4"/>
    <x v="2"/>
    <x v="2"/>
    <n v="368"/>
    <n v="83"/>
    <n v="334"/>
    <n v="753.77280000247993"/>
    <s v=""/>
    <n v="22900"/>
    <n v="135"/>
    <n v="14"/>
    <n v="4053"/>
    <x v="0"/>
  </r>
  <r>
    <n v="4"/>
    <x v="2"/>
    <x v="3"/>
    <n v="457"/>
    <n v="107"/>
    <n v="460"/>
    <n v="1741.1642999795731"/>
    <s v=""/>
    <n v="94788"/>
    <n v="308"/>
    <n v="19"/>
    <n v="4055"/>
    <x v="0"/>
  </r>
  <r>
    <n v="4"/>
    <x v="3"/>
    <x v="0"/>
    <n v="426"/>
    <n v="83"/>
    <n v="244"/>
    <n v="1570.0079999805894"/>
    <s v=""/>
    <n v="50562"/>
    <n v="176"/>
    <n v="42"/>
    <n v="4061"/>
    <x v="0"/>
  </r>
  <r>
    <n v="4"/>
    <x v="3"/>
    <x v="1"/>
    <n v="423"/>
    <n v="101"/>
    <n v="307"/>
    <n v="821.07649999670684"/>
    <s v=""/>
    <n v="21341"/>
    <n v="117"/>
    <n v="17"/>
    <n v="4062"/>
    <x v="0"/>
  </r>
  <r>
    <n v="4"/>
    <x v="3"/>
    <x v="2"/>
    <m/>
    <m/>
    <n v="346"/>
    <m/>
    <s v="solver exceeded time limit"/>
    <m/>
    <m/>
    <m/>
    <n v="4063"/>
    <x v="1"/>
  </r>
  <r>
    <n v="4"/>
    <x v="3"/>
    <x v="3"/>
    <m/>
    <m/>
    <n v="481"/>
    <m/>
    <s v="solver exceeded time limit"/>
    <m/>
    <m/>
    <m/>
    <n v="4065"/>
    <x v="1"/>
  </r>
  <r>
    <n v="4"/>
    <x v="4"/>
    <x v="0"/>
    <n v="442"/>
    <n v="74"/>
    <n v="232"/>
    <n v="573.02759998128749"/>
    <s v=""/>
    <n v="12258"/>
    <n v="72"/>
    <n v="15"/>
    <n v="4081"/>
    <x v="0"/>
  </r>
  <r>
    <n v="4"/>
    <x v="4"/>
    <x v="1"/>
    <n v="658"/>
    <n v="106"/>
    <n v="289"/>
    <n v="1683.3026999956928"/>
    <s v=""/>
    <n v="47836"/>
    <n v="246"/>
    <n v="37"/>
    <n v="4082"/>
    <x v="0"/>
  </r>
  <r>
    <n v="4"/>
    <x v="4"/>
    <x v="2"/>
    <n v="626"/>
    <n v="107"/>
    <n v="379"/>
    <n v="13720.709699991858"/>
    <s v=""/>
    <n v="333072"/>
    <n v="2132"/>
    <n v="255"/>
    <n v="4083"/>
    <x v="0"/>
  </r>
  <r>
    <n v="4"/>
    <x v="4"/>
    <x v="3"/>
    <n v="817"/>
    <n v="123"/>
    <n v="415"/>
    <n v="61074.43060001242"/>
    <s v=""/>
    <n v="6501243"/>
    <n v="5090"/>
    <n v="337"/>
    <n v="4085"/>
    <x v="0"/>
  </r>
  <r>
    <n v="5"/>
    <x v="0"/>
    <x v="0"/>
    <n v="81"/>
    <n v="42"/>
    <n v="136"/>
    <n v="19.225800002459437"/>
    <s v=""/>
    <n v="475"/>
    <n v="4"/>
    <n v="1"/>
    <n v="5021"/>
    <x v="0"/>
  </r>
  <r>
    <n v="5"/>
    <x v="0"/>
    <x v="1"/>
    <n v="150"/>
    <n v="82"/>
    <n v="220"/>
    <n v="32.541399996262044"/>
    <s v=""/>
    <n v="878"/>
    <n v="6"/>
    <n v="1"/>
    <n v="5022"/>
    <x v="0"/>
  </r>
  <r>
    <n v="5"/>
    <x v="0"/>
    <x v="2"/>
    <n v="147"/>
    <n v="78"/>
    <n v="256"/>
    <n v="36.905700020724908"/>
    <s v=""/>
    <n v="1160"/>
    <n v="9"/>
    <n v="1"/>
    <n v="5023"/>
    <x v="0"/>
  </r>
  <r>
    <n v="5"/>
    <x v="0"/>
    <x v="3"/>
    <n v="198"/>
    <n v="99"/>
    <n v="331"/>
    <n v="58.157299994491041"/>
    <s v=""/>
    <n v="2793"/>
    <n v="14"/>
    <n v="1"/>
    <n v="5025"/>
    <x v="0"/>
  </r>
  <r>
    <n v="5"/>
    <x v="1"/>
    <x v="0"/>
    <n v="279"/>
    <n v="87"/>
    <n v="271"/>
    <n v="75.916100002359599"/>
    <s v=""/>
    <n v="1741"/>
    <n v="8"/>
    <n v="1"/>
    <n v="5041"/>
    <x v="0"/>
  </r>
  <r>
    <n v="5"/>
    <x v="1"/>
    <x v="1"/>
    <n v="307"/>
    <n v="89"/>
    <n v="295"/>
    <n v="163.66910000215285"/>
    <s v=""/>
    <n v="4642"/>
    <n v="24"/>
    <n v="3"/>
    <n v="5042"/>
    <x v="0"/>
  </r>
  <r>
    <n v="5"/>
    <x v="1"/>
    <x v="2"/>
    <n v="323"/>
    <n v="90"/>
    <n v="424"/>
    <n v="292.05830002319999"/>
    <s v=""/>
    <n v="7156"/>
    <n v="44"/>
    <n v="4"/>
    <n v="5043"/>
    <x v="0"/>
  </r>
  <r>
    <n v="5"/>
    <x v="1"/>
    <x v="3"/>
    <m/>
    <m/>
    <n v="361"/>
    <m/>
    <s v="solver exceeded time limit"/>
    <m/>
    <m/>
    <m/>
    <n v="5045"/>
    <x v="1"/>
  </r>
  <r>
    <n v="5"/>
    <x v="2"/>
    <x v="0"/>
    <n v="266"/>
    <n v="83"/>
    <n v="259"/>
    <n v="86.184299987507984"/>
    <s v=""/>
    <n v="1520"/>
    <n v="10"/>
    <n v="1"/>
    <n v="5051"/>
    <x v="0"/>
  </r>
  <r>
    <n v="5"/>
    <x v="2"/>
    <x v="1"/>
    <n v="348"/>
    <n v="81"/>
    <n v="253"/>
    <n v="464.79900000849739"/>
    <s v=""/>
    <n v="16137"/>
    <n v="75"/>
    <n v="11"/>
    <n v="5052"/>
    <x v="0"/>
  </r>
  <r>
    <n v="5"/>
    <x v="2"/>
    <x v="2"/>
    <n v="409"/>
    <n v="95"/>
    <n v="337"/>
    <n v="5260.3818000061437"/>
    <s v=""/>
    <n v="493070"/>
    <n v="418"/>
    <n v="45"/>
    <n v="5053"/>
    <x v="0"/>
  </r>
  <r>
    <n v="5"/>
    <x v="2"/>
    <x v="3"/>
    <n v="466"/>
    <n v="109"/>
    <n v="442"/>
    <n v="60060.265699983574"/>
    <s v=""/>
    <n v="2310440"/>
    <n v="11955"/>
    <n v="817"/>
    <n v="5055"/>
    <x v="0"/>
  </r>
  <r>
    <n v="5"/>
    <x v="3"/>
    <x v="0"/>
    <n v="367"/>
    <n v="76"/>
    <n v="238"/>
    <n v="198.03560001309961"/>
    <s v=""/>
    <n v="4847"/>
    <n v="24"/>
    <n v="4"/>
    <n v="5061"/>
    <x v="0"/>
  </r>
  <r>
    <n v="5"/>
    <x v="3"/>
    <x v="1"/>
    <m/>
    <m/>
    <n v="274"/>
    <m/>
    <s v="solver exceeded time limit"/>
    <m/>
    <m/>
    <m/>
    <n v="5062"/>
    <x v="1"/>
  </r>
  <r>
    <n v="5"/>
    <x v="3"/>
    <x v="2"/>
    <n v="484"/>
    <n v="99"/>
    <n v="355"/>
    <n v="1066.4183000044432"/>
    <s v=""/>
    <n v="30098"/>
    <n v="200"/>
    <n v="18"/>
    <n v="5063"/>
    <x v="0"/>
  </r>
  <r>
    <n v="5"/>
    <x v="3"/>
    <x v="3"/>
    <n v="628"/>
    <n v="119"/>
    <n v="439"/>
    <n v="10184.899599989876"/>
    <s v=""/>
    <n v="556793"/>
    <n v="2489"/>
    <n v="120"/>
    <n v="5065"/>
    <x v="0"/>
  </r>
  <r>
    <n v="5"/>
    <x v="4"/>
    <x v="0"/>
    <n v="522"/>
    <n v="84"/>
    <n v="262"/>
    <n v="373.88060000375845"/>
    <s v=""/>
    <n v="6711"/>
    <n v="40"/>
    <n v="7"/>
    <n v="5081"/>
    <x v="0"/>
  </r>
  <r>
    <n v="5"/>
    <x v="4"/>
    <x v="1"/>
    <n v="590"/>
    <n v="101"/>
    <n v="313"/>
    <n v="353.38559999945574"/>
    <s v=""/>
    <n v="10218"/>
    <n v="50"/>
    <n v="5"/>
    <n v="5082"/>
    <x v="0"/>
  </r>
  <r>
    <n v="5"/>
    <x v="4"/>
    <x v="2"/>
    <m/>
    <m/>
    <n v="322"/>
    <m/>
    <s v="solver exceeded time limit"/>
    <m/>
    <m/>
    <m/>
    <n v="5083"/>
    <x v="1"/>
  </r>
  <r>
    <n v="5"/>
    <x v="4"/>
    <x v="3"/>
    <n v="776"/>
    <n v="117"/>
    <n v="511"/>
    <n v="51573.119599983329"/>
    <s v=""/>
    <n v="1735733"/>
    <n v="8344"/>
    <n v="593"/>
    <n v="5085"/>
    <x v="0"/>
  </r>
  <r>
    <n v="6"/>
    <x v="0"/>
    <x v="0"/>
    <n v="84"/>
    <n v="57"/>
    <n v="181"/>
    <n v="25.37689998280257"/>
    <s v=""/>
    <n v="489"/>
    <n v="4"/>
    <n v="1"/>
    <n v="6021"/>
    <x v="0"/>
  </r>
  <r>
    <n v="6"/>
    <x v="0"/>
    <x v="1"/>
    <n v="147"/>
    <n v="82"/>
    <n v="205"/>
    <n v="29.838299989933148"/>
    <s v=""/>
    <n v="715"/>
    <n v="6"/>
    <n v="1"/>
    <n v="6022"/>
    <x v="0"/>
  </r>
  <r>
    <n v="6"/>
    <x v="0"/>
    <x v="2"/>
    <n v="190"/>
    <n v="108"/>
    <n v="358"/>
    <n v="160.04759998759255"/>
    <s v=""/>
    <n v="5155"/>
    <n v="27"/>
    <n v="3"/>
    <n v="6023"/>
    <x v="0"/>
  </r>
  <r>
    <n v="6"/>
    <x v="0"/>
    <x v="3"/>
    <n v="196"/>
    <n v="104"/>
    <n v="448"/>
    <n v="74.977699987357482"/>
    <s v=""/>
    <n v="3183"/>
    <n v="17"/>
    <n v="1"/>
    <n v="6025"/>
    <x v="0"/>
  </r>
  <r>
    <n v="6"/>
    <x v="1"/>
    <x v="0"/>
    <n v="270"/>
    <n v="81"/>
    <n v="253"/>
    <n v="104.70890000578947"/>
    <s v=""/>
    <n v="2565"/>
    <n v="12"/>
    <n v="2"/>
    <n v="6041"/>
    <x v="0"/>
  </r>
  <r>
    <n v="6"/>
    <x v="1"/>
    <x v="1"/>
    <n v="309"/>
    <n v="83"/>
    <n v="259"/>
    <n v="75.839400000404567"/>
    <s v=""/>
    <n v="2321"/>
    <n v="12"/>
    <n v="1"/>
    <n v="6042"/>
    <x v="0"/>
  </r>
  <r>
    <n v="6"/>
    <x v="1"/>
    <x v="2"/>
    <n v="317"/>
    <n v="94"/>
    <n v="349"/>
    <n v="193.45099999918602"/>
    <s v=""/>
    <n v="5218"/>
    <n v="34"/>
    <n v="3"/>
    <n v="6043"/>
    <x v="0"/>
  </r>
  <r>
    <n v="6"/>
    <x v="1"/>
    <x v="3"/>
    <n v="403"/>
    <n v="126"/>
    <n v="388"/>
    <n v="187.31070001376793"/>
    <s v=""/>
    <n v="8036"/>
    <n v="45"/>
    <n v="2"/>
    <n v="6045"/>
    <x v="0"/>
  </r>
  <r>
    <n v="6"/>
    <x v="2"/>
    <x v="0"/>
    <n v="234"/>
    <n v="67"/>
    <n v="211"/>
    <n v="179.8523000034038"/>
    <s v=""/>
    <n v="3057"/>
    <n v="26"/>
    <n v="5"/>
    <n v="6051"/>
    <x v="0"/>
  </r>
  <r>
    <n v="6"/>
    <x v="2"/>
    <x v="1"/>
    <n v="348"/>
    <n v="82"/>
    <n v="262"/>
    <n v="162.66599998925813"/>
    <s v=""/>
    <n v="4169"/>
    <n v="27"/>
    <n v="3"/>
    <n v="6052"/>
    <x v="0"/>
  </r>
  <r>
    <n v="6"/>
    <x v="2"/>
    <x v="2"/>
    <n v="423"/>
    <n v="105"/>
    <n v="361"/>
    <n v="90226.127200003248"/>
    <s v=""/>
    <n v="2956586"/>
    <n v="14005"/>
    <n v="1626"/>
    <n v="6053"/>
    <x v="0"/>
  </r>
  <r>
    <n v="6"/>
    <x v="2"/>
    <x v="3"/>
    <n v="522"/>
    <n v="120"/>
    <n v="412"/>
    <n v="6093.7761999957729"/>
    <s v=""/>
    <n v="277148"/>
    <n v="1420"/>
    <n v="85"/>
    <n v="6055"/>
    <x v="0"/>
  </r>
  <r>
    <n v="6"/>
    <x v="3"/>
    <x v="0"/>
    <n v="289"/>
    <n v="64"/>
    <n v="202"/>
    <n v="164.29149999748915"/>
    <s v=""/>
    <n v="3601"/>
    <n v="24"/>
    <n v="4"/>
    <n v="6061"/>
    <x v="0"/>
  </r>
  <r>
    <n v="6"/>
    <x v="3"/>
    <x v="1"/>
    <n v="426"/>
    <n v="82"/>
    <n v="310"/>
    <n v="354.0999999968335"/>
    <s v=""/>
    <n v="8411"/>
    <n v="46"/>
    <n v="5"/>
    <n v="6062"/>
    <x v="0"/>
  </r>
  <r>
    <n v="6"/>
    <x v="3"/>
    <x v="2"/>
    <n v="536"/>
    <n v="106"/>
    <n v="421"/>
    <n v="23113.682600000175"/>
    <s v=""/>
    <n v="523925"/>
    <n v="2802"/>
    <n v="348"/>
    <n v="6063"/>
    <x v="0"/>
  </r>
  <r>
    <n v="6"/>
    <x v="3"/>
    <x v="3"/>
    <m/>
    <m/>
    <n v="604"/>
    <m/>
    <s v="solver exceeded time limit"/>
    <m/>
    <m/>
    <m/>
    <n v="6065"/>
    <x v="1"/>
  </r>
  <r>
    <n v="6"/>
    <x v="4"/>
    <x v="0"/>
    <n v="580"/>
    <n v="97"/>
    <n v="301"/>
    <n v="337.84970000851899"/>
    <s v=""/>
    <n v="8724"/>
    <n v="32"/>
    <n v="5"/>
    <n v="6081"/>
    <x v="0"/>
  </r>
  <r>
    <n v="6"/>
    <x v="4"/>
    <x v="1"/>
    <m/>
    <m/>
    <n v="322"/>
    <n v="120017.52140000463"/>
    <s v="solver exceeded time limit"/>
    <n v="8567823"/>
    <n v="10611"/>
    <n v="1540"/>
    <n v="6082"/>
    <x v="1"/>
  </r>
  <r>
    <n v="6"/>
    <x v="4"/>
    <x v="2"/>
    <n v="662"/>
    <n v="94"/>
    <n v="361"/>
    <n v="2793.6650000046939"/>
    <s v=""/>
    <n v="88775"/>
    <n v="427"/>
    <n v="49"/>
    <n v="6083"/>
    <x v="0"/>
  </r>
  <r>
    <n v="6"/>
    <x v="4"/>
    <x v="3"/>
    <n v="740"/>
    <n v="110"/>
    <n v="433"/>
    <m/>
    <s v=""/>
    <m/>
    <m/>
    <m/>
    <n v="6085"/>
    <x v="0"/>
  </r>
  <r>
    <n v="7"/>
    <x v="0"/>
    <x v="0"/>
    <n v="118"/>
    <n v="72"/>
    <n v="226"/>
    <n v="34.257400024216622"/>
    <s v=""/>
    <n v="557"/>
    <n v="4"/>
    <n v="1"/>
    <n v="7021"/>
    <x v="0"/>
  </r>
  <r>
    <n v="7"/>
    <x v="0"/>
    <x v="1"/>
    <n v="143"/>
    <n v="95"/>
    <n v="313"/>
    <n v="67.710600007558241"/>
    <s v=""/>
    <n v="1046"/>
    <n v="6"/>
    <n v="1"/>
    <n v="7022"/>
    <x v="0"/>
  </r>
  <r>
    <n v="7"/>
    <x v="0"/>
    <x v="2"/>
    <n v="162"/>
    <n v="101"/>
    <n v="385"/>
    <n v="80.757200019434094"/>
    <s v=""/>
    <n v="1587"/>
    <n v="8"/>
    <n v="1"/>
    <n v="7023"/>
    <x v="0"/>
  </r>
  <r>
    <n v="7"/>
    <x v="0"/>
    <x v="3"/>
    <n v="219"/>
    <n v="116"/>
    <n v="409"/>
    <n v="11873.012199997902"/>
    <s v=""/>
    <n v="1158169"/>
    <n v="855"/>
    <n v="59"/>
    <n v="7025"/>
    <x v="0"/>
  </r>
  <r>
    <n v="7"/>
    <x v="1"/>
    <x v="0"/>
    <n v="165"/>
    <n v="73"/>
    <n v="229"/>
    <n v="126.73119999817573"/>
    <s v=""/>
    <n v="2125"/>
    <n v="16"/>
    <n v="3"/>
    <n v="7041"/>
    <x v="0"/>
  </r>
  <r>
    <n v="7"/>
    <x v="1"/>
    <x v="1"/>
    <n v="283"/>
    <n v="93"/>
    <n v="295"/>
    <n v="218.93130001262762"/>
    <s v=""/>
    <n v="5203"/>
    <n v="30"/>
    <n v="4"/>
    <n v="7042"/>
    <x v="0"/>
  </r>
  <r>
    <n v="7"/>
    <x v="1"/>
    <x v="2"/>
    <n v="277"/>
    <n v="75"/>
    <n v="271"/>
    <n v="79.535600001690909"/>
    <s v=""/>
    <n v="2171"/>
    <n v="16"/>
    <n v="1"/>
    <n v="7043"/>
    <x v="0"/>
  </r>
  <r>
    <n v="7"/>
    <x v="1"/>
    <x v="3"/>
    <n v="457"/>
    <n v="132"/>
    <n v="460"/>
    <n v="1212.1221999987029"/>
    <s v=""/>
    <n v="49207"/>
    <n v="259"/>
    <n v="14"/>
    <n v="7045"/>
    <x v="0"/>
  </r>
  <r>
    <n v="7"/>
    <x v="2"/>
    <x v="0"/>
    <n v="304"/>
    <n v="79"/>
    <n v="247"/>
    <n v="92.153800011146814"/>
    <s v=""/>
    <n v="1798"/>
    <n v="10"/>
    <n v="1"/>
    <n v="7051"/>
    <x v="0"/>
  </r>
  <r>
    <n v="7"/>
    <x v="2"/>
    <x v="1"/>
    <n v="371"/>
    <n v="93"/>
    <n v="289"/>
    <n v="755.69890000042506"/>
    <s v=""/>
    <n v="19142"/>
    <n v="99"/>
    <n v="15"/>
    <n v="7052"/>
    <x v="0"/>
  </r>
  <r>
    <n v="7"/>
    <x v="2"/>
    <x v="2"/>
    <n v="398"/>
    <n v="101"/>
    <n v="349"/>
    <n v="386.72730000689626"/>
    <s v=""/>
    <n v="10896"/>
    <n v="60"/>
    <n v="6"/>
    <n v="7053"/>
    <x v="0"/>
  </r>
  <r>
    <n v="7"/>
    <x v="2"/>
    <x v="3"/>
    <n v="495"/>
    <n v="119"/>
    <n v="514"/>
    <n v="3249.377900006948"/>
    <s v=""/>
    <n v="141357"/>
    <n v="856"/>
    <n v="34"/>
    <n v="7055"/>
    <x v="0"/>
  </r>
  <r>
    <n v="7"/>
    <x v="3"/>
    <x v="0"/>
    <n v="356"/>
    <n v="88"/>
    <n v="274"/>
    <n v="115.25859998073429"/>
    <s v=""/>
    <n v="2348"/>
    <n v="12"/>
    <n v="1"/>
    <n v="7061"/>
    <x v="0"/>
  </r>
  <r>
    <n v="7"/>
    <x v="3"/>
    <x v="1"/>
    <n v="479"/>
    <n v="102"/>
    <n v="316"/>
    <n v="2089.2408000072464"/>
    <s v=""/>
    <n v="55343"/>
    <n v="278"/>
    <n v="44"/>
    <n v="7062"/>
    <x v="0"/>
  </r>
  <r>
    <n v="7"/>
    <x v="3"/>
    <x v="2"/>
    <n v="438"/>
    <n v="99"/>
    <n v="367"/>
    <n v="537.34219999751076"/>
    <s v=""/>
    <n v="14940"/>
    <n v="91"/>
    <n v="8"/>
    <n v="7063"/>
    <x v="0"/>
  </r>
  <r>
    <n v="7"/>
    <x v="3"/>
    <x v="3"/>
    <m/>
    <m/>
    <n v="403"/>
    <m/>
    <s v="solver exceeded time limit"/>
    <m/>
    <m/>
    <m/>
    <n v="7065"/>
    <x v="1"/>
  </r>
  <r>
    <n v="7"/>
    <x v="4"/>
    <x v="0"/>
    <n v="449"/>
    <n v="85"/>
    <n v="253"/>
    <n v="19941.983800003072"/>
    <s v=""/>
    <n v="484802"/>
    <n v="2372"/>
    <n v="590"/>
    <n v="7081"/>
    <x v="0"/>
  </r>
  <r>
    <n v="7"/>
    <x v="4"/>
    <x v="1"/>
    <n v="678"/>
    <n v="105"/>
    <n v="319"/>
    <n v="5607.0595000055619"/>
    <s v=""/>
    <n v="157665"/>
    <n v="755"/>
    <n v="119"/>
    <n v="7082"/>
    <x v="0"/>
  </r>
  <r>
    <n v="7"/>
    <x v="4"/>
    <x v="2"/>
    <m/>
    <m/>
    <n v="337"/>
    <m/>
    <s v="solver exceeded time limit"/>
    <m/>
    <m/>
    <m/>
    <n v="7083"/>
    <x v="1"/>
  </r>
  <r>
    <n v="7"/>
    <x v="4"/>
    <x v="3"/>
    <n v="784"/>
    <n v="110"/>
    <n v="472"/>
    <n v="28357.95799997868"/>
    <s v=""/>
    <n v="3427872"/>
    <n v="1602"/>
    <n v="92"/>
    <n v="7085"/>
    <x v="0"/>
  </r>
  <r>
    <n v="8"/>
    <x v="0"/>
    <x v="0"/>
    <n v="140"/>
    <n v="74"/>
    <n v="232"/>
    <n v="33.714500023052096"/>
    <s v=""/>
    <n v="896"/>
    <n v="4"/>
    <n v="1"/>
    <n v="8021"/>
    <x v="0"/>
  </r>
  <r>
    <n v="8"/>
    <x v="0"/>
    <x v="1"/>
    <n v="109"/>
    <n v="57"/>
    <n v="184"/>
    <n v="28.146299999207262"/>
    <s v=""/>
    <n v="838"/>
    <n v="6"/>
    <n v="1"/>
    <n v="8022"/>
    <x v="0"/>
  </r>
  <r>
    <n v="8"/>
    <x v="0"/>
    <x v="2"/>
    <n v="123"/>
    <n v="65"/>
    <n v="253"/>
    <n v="36.036100005730987"/>
    <s v=""/>
    <n v="931"/>
    <n v="8"/>
    <n v="1"/>
    <n v="8023"/>
    <x v="0"/>
  </r>
  <r>
    <n v="8"/>
    <x v="0"/>
    <x v="3"/>
    <n v="154"/>
    <n v="78"/>
    <n v="406"/>
    <n v="357.18700001598336"/>
    <s v=""/>
    <n v="12395"/>
    <n v="78"/>
    <n v="6"/>
    <n v="8025"/>
    <x v="0"/>
  </r>
  <r>
    <n v="8"/>
    <x v="1"/>
    <x v="0"/>
    <n v="228"/>
    <n v="85"/>
    <n v="265"/>
    <n v="142.97970000188798"/>
    <s v=""/>
    <n v="3056"/>
    <n v="16"/>
    <n v="3"/>
    <n v="8041"/>
    <x v="0"/>
  </r>
  <r>
    <n v="8"/>
    <x v="1"/>
    <x v="1"/>
    <n v="271"/>
    <n v="84"/>
    <n v="232"/>
    <n v="97.201399999903515"/>
    <s v=""/>
    <n v="2665"/>
    <n v="18"/>
    <n v="2"/>
    <n v="8042"/>
    <x v="0"/>
  </r>
  <r>
    <n v="8"/>
    <x v="1"/>
    <x v="2"/>
    <n v="295"/>
    <n v="96"/>
    <n v="334"/>
    <n v="319.52749998890795"/>
    <s v=""/>
    <n v="8397"/>
    <n v="56"/>
    <n v="6"/>
    <n v="8043"/>
    <x v="0"/>
  </r>
  <r>
    <n v="8"/>
    <x v="1"/>
    <x v="3"/>
    <n v="371"/>
    <n v="101"/>
    <n v="454"/>
    <n v="769.16920000803657"/>
    <s v=""/>
    <n v="30230"/>
    <n v="144"/>
    <n v="10"/>
    <n v="8045"/>
    <x v="0"/>
  </r>
  <r>
    <n v="8"/>
    <x v="2"/>
    <x v="0"/>
    <n v="272"/>
    <n v="97"/>
    <n v="301"/>
    <n v="137.0941000059247"/>
    <s v=""/>
    <n v="2942"/>
    <n v="14"/>
    <n v="2"/>
    <n v="8051"/>
    <x v="0"/>
  </r>
  <r>
    <n v="8"/>
    <x v="2"/>
    <x v="1"/>
    <n v="385"/>
    <n v="95"/>
    <n v="295"/>
    <n v="995.35740001010709"/>
    <s v=""/>
    <n v="28274"/>
    <n v="141"/>
    <n v="22"/>
    <n v="8052"/>
    <x v="0"/>
  </r>
  <r>
    <n v="8"/>
    <x v="2"/>
    <x v="2"/>
    <n v="357"/>
    <n v="82"/>
    <n v="286"/>
    <n v="1408.2213999936357"/>
    <s v=""/>
    <n v="44159"/>
    <n v="277"/>
    <n v="33"/>
    <n v="8053"/>
    <x v="0"/>
  </r>
  <r>
    <n v="8"/>
    <x v="2"/>
    <x v="3"/>
    <n v="490"/>
    <n v="107"/>
    <n v="421"/>
    <n v="3704.509400005918"/>
    <s v=""/>
    <n v="321329"/>
    <n v="739"/>
    <n v="31"/>
    <n v="8055"/>
    <x v="0"/>
  </r>
  <r>
    <n v="8"/>
    <x v="3"/>
    <x v="0"/>
    <n v="337"/>
    <n v="82"/>
    <n v="256"/>
    <n v="438.73700001859106"/>
    <s v=""/>
    <n v="10345"/>
    <n v="52"/>
    <n v="11"/>
    <n v="8061"/>
    <x v="0"/>
  </r>
  <r>
    <n v="8"/>
    <x v="3"/>
    <x v="1"/>
    <n v="405"/>
    <n v="83"/>
    <n v="259"/>
    <n v="136.55630001449026"/>
    <s v=""/>
    <n v="3412"/>
    <n v="24"/>
    <n v="2"/>
    <n v="8062"/>
    <x v="0"/>
  </r>
  <r>
    <n v="8"/>
    <x v="3"/>
    <x v="2"/>
    <n v="544"/>
    <n v="109"/>
    <n v="403"/>
    <n v="895.22719997330569"/>
    <s v=""/>
    <n v="25652"/>
    <n v="120"/>
    <n v="13"/>
    <n v="8063"/>
    <x v="0"/>
  </r>
  <r>
    <n v="8"/>
    <x v="3"/>
    <x v="3"/>
    <n v="634"/>
    <n v="115"/>
    <n v="487"/>
    <n v="37078.619400010211"/>
    <s v=""/>
    <n v="1574711"/>
    <n v="7354"/>
    <n v="461"/>
    <n v="8065"/>
    <x v="0"/>
  </r>
  <r>
    <n v="8"/>
    <x v="4"/>
    <x v="0"/>
    <m/>
    <m/>
    <n v="244"/>
    <m/>
    <s v="solver exceeded time limit"/>
    <m/>
    <m/>
    <m/>
    <n v="8081"/>
    <x v="1"/>
  </r>
  <r>
    <n v="8"/>
    <x v="4"/>
    <x v="1"/>
    <n v="528"/>
    <n v="88"/>
    <n v="346"/>
    <n v="17772.923399985302"/>
    <s v=""/>
    <n v="1353069"/>
    <n v="1335"/>
    <n v="196"/>
    <n v="8082"/>
    <x v="0"/>
  </r>
  <r>
    <n v="8"/>
    <x v="4"/>
    <x v="2"/>
    <n v="680"/>
    <n v="102"/>
    <n v="397"/>
    <n v="3440.0735000090208"/>
    <s v=""/>
    <n v="117508"/>
    <n v="457"/>
    <n v="53"/>
    <n v="8083"/>
    <x v="0"/>
  </r>
  <r>
    <n v="8"/>
    <x v="4"/>
    <x v="3"/>
    <m/>
    <m/>
    <n v="469"/>
    <m/>
    <s v="solver exceeded time limit"/>
    <m/>
    <m/>
    <m/>
    <n v="8085"/>
    <x v="1"/>
  </r>
  <r>
    <n v="9"/>
    <x v="0"/>
    <x v="0"/>
    <n v="138"/>
    <n v="72"/>
    <n v="226"/>
    <n v="31.231500004651025"/>
    <s v=""/>
    <n v="639"/>
    <n v="4"/>
    <n v="1"/>
    <n v="9021"/>
    <x v="0"/>
  </r>
  <r>
    <n v="9"/>
    <x v="0"/>
    <x v="1"/>
    <n v="141"/>
    <n v="79"/>
    <n v="247"/>
    <n v="139.89520000177436"/>
    <s v=""/>
    <n v="3427"/>
    <n v="24"/>
    <n v="4"/>
    <n v="9022"/>
    <x v="0"/>
  </r>
  <r>
    <n v="9"/>
    <x v="0"/>
    <x v="2"/>
    <n v="141"/>
    <n v="85"/>
    <n v="367"/>
    <n v="418.26979999314062"/>
    <s v=""/>
    <n v="11707"/>
    <n v="64"/>
    <n v="8"/>
    <n v="9023"/>
    <x v="0"/>
  </r>
  <r>
    <n v="9"/>
    <x v="0"/>
    <x v="3"/>
    <n v="207"/>
    <n v="112"/>
    <n v="409"/>
    <n v="935.73120000655763"/>
    <s v=""/>
    <n v="44980"/>
    <n v="158"/>
    <n v="12"/>
    <n v="9025"/>
    <x v="0"/>
  </r>
  <r>
    <n v="9"/>
    <x v="1"/>
    <x v="0"/>
    <n v="169"/>
    <n v="59"/>
    <n v="187"/>
    <n v="80.001700000138953"/>
    <s v=""/>
    <n v="1478"/>
    <n v="12"/>
    <n v="2"/>
    <n v="9041"/>
    <x v="0"/>
  </r>
  <r>
    <n v="9"/>
    <x v="1"/>
    <x v="1"/>
    <n v="326"/>
    <n v="105"/>
    <n v="325"/>
    <n v="233.04439999628812"/>
    <s v=""/>
    <n v="5995"/>
    <n v="30"/>
    <n v="4"/>
    <n v="9042"/>
    <x v="0"/>
  </r>
  <r>
    <n v="9"/>
    <x v="1"/>
    <x v="2"/>
    <m/>
    <m/>
    <n v="298"/>
    <m/>
    <s v="solver exceeded time limit"/>
    <m/>
    <m/>
    <m/>
    <n v="9043"/>
    <x v="1"/>
  </r>
  <r>
    <n v="9"/>
    <x v="1"/>
    <x v="3"/>
    <n v="372"/>
    <n v="102"/>
    <n v="490"/>
    <n v="460.48380000866018"/>
    <s v=""/>
    <n v="15815"/>
    <n v="81"/>
    <n v="5"/>
    <n v="9045"/>
    <x v="0"/>
  </r>
  <r>
    <n v="9"/>
    <x v="2"/>
    <x v="0"/>
    <n v="314"/>
    <n v="80"/>
    <n v="250"/>
    <n v="158.34490000270307"/>
    <s v=""/>
    <n v="3608"/>
    <n v="18"/>
    <n v="3"/>
    <n v="9051"/>
    <x v="0"/>
  </r>
  <r>
    <n v="9"/>
    <x v="2"/>
    <x v="1"/>
    <n v="377"/>
    <n v="83"/>
    <n v="259"/>
    <n v="446.43640000140294"/>
    <s v=""/>
    <n v="11592"/>
    <n v="63"/>
    <n v="9"/>
    <n v="9052"/>
    <x v="0"/>
  </r>
  <r>
    <n v="9"/>
    <x v="2"/>
    <x v="2"/>
    <n v="410"/>
    <n v="91"/>
    <n v="340"/>
    <n v="332.40460001979955"/>
    <s v=""/>
    <n v="9890"/>
    <n v="52"/>
    <n v="5"/>
    <n v="9053"/>
    <x v="0"/>
  </r>
  <r>
    <n v="9"/>
    <x v="2"/>
    <x v="3"/>
    <n v="533"/>
    <n v="113"/>
    <n v="517"/>
    <n v="12858.762699994259"/>
    <s v=""/>
    <n v="445487"/>
    <n v="2604"/>
    <n v="159"/>
    <n v="9055"/>
    <x v="0"/>
  </r>
  <r>
    <n v="9"/>
    <x v="3"/>
    <x v="0"/>
    <n v="364"/>
    <n v="95"/>
    <n v="295"/>
    <n v="1565.0402999890503"/>
    <s v=""/>
    <n v="35708"/>
    <n v="152"/>
    <n v="36"/>
    <n v="9061"/>
    <x v="0"/>
  </r>
  <r>
    <n v="9"/>
    <x v="3"/>
    <x v="1"/>
    <n v="441"/>
    <n v="101"/>
    <n v="301"/>
    <n v="23030.733499996131"/>
    <s v=""/>
    <n v="2001617"/>
    <n v="1548"/>
    <n v="256"/>
    <n v="9062"/>
    <x v="0"/>
  </r>
  <r>
    <n v="9"/>
    <x v="3"/>
    <x v="2"/>
    <n v="425"/>
    <n v="84"/>
    <n v="334"/>
    <n v="1597.0263000053819"/>
    <s v=""/>
    <n v="40580"/>
    <n v="300"/>
    <n v="30"/>
    <n v="9063"/>
    <x v="0"/>
  </r>
  <r>
    <n v="9"/>
    <x v="3"/>
    <x v="3"/>
    <n v="596"/>
    <n v="111"/>
    <n v="400"/>
    <n v="7587.1227000025101"/>
    <s v=""/>
    <n v="776064"/>
    <n v="658"/>
    <n v="47"/>
    <n v="9065"/>
    <x v="0"/>
  </r>
  <r>
    <n v="9"/>
    <x v="4"/>
    <x v="0"/>
    <n v="422"/>
    <n v="83"/>
    <n v="259"/>
    <n v="38634.562899998855"/>
    <s v=""/>
    <n v="796246"/>
    <n v="4184"/>
    <n v="1043"/>
    <n v="9081"/>
    <x v="0"/>
  </r>
  <r>
    <n v="9"/>
    <x v="4"/>
    <x v="1"/>
    <n v="554"/>
    <n v="97"/>
    <n v="283"/>
    <n v="2488.3179000171367"/>
    <s v=""/>
    <n v="71549"/>
    <n v="336"/>
    <n v="53"/>
    <n v="9082"/>
    <x v="0"/>
  </r>
  <r>
    <n v="9"/>
    <x v="4"/>
    <x v="2"/>
    <n v="574"/>
    <n v="94"/>
    <n v="385"/>
    <n v="14850.596200005384"/>
    <s v=""/>
    <n v="1113027"/>
    <n v="1186"/>
    <n v="122"/>
    <n v="9083"/>
    <x v="0"/>
  </r>
  <r>
    <n v="9"/>
    <x v="4"/>
    <x v="3"/>
    <n v="809"/>
    <n v="126"/>
    <n v="484"/>
    <n v="81146.383000013884"/>
    <s v=""/>
    <n v="9190598"/>
    <n v="5053"/>
    <n v="260"/>
    <n v="9085"/>
    <x v="0"/>
  </r>
  <r>
    <n v="10"/>
    <x v="0"/>
    <x v="0"/>
    <n v="106"/>
    <n v="56"/>
    <n v="178"/>
    <n v="74.176900001475587"/>
    <s v=""/>
    <n v="1556"/>
    <n v="12"/>
    <n v="3"/>
    <n v="10021"/>
    <x v="0"/>
  </r>
  <r>
    <n v="10"/>
    <x v="0"/>
    <x v="1"/>
    <n v="138"/>
    <n v="73"/>
    <n v="247"/>
    <n v="35.632300016004592"/>
    <s v=""/>
    <n v="913"/>
    <n v="6"/>
    <n v="1"/>
    <n v="10022"/>
    <x v="0"/>
  </r>
  <r>
    <n v="10"/>
    <x v="0"/>
    <x v="2"/>
    <n v="150"/>
    <n v="76"/>
    <n v="256"/>
    <n v="38.478000002214685"/>
    <s v=""/>
    <n v="1162"/>
    <n v="8"/>
    <n v="1"/>
    <n v="10023"/>
    <x v="0"/>
  </r>
  <r>
    <n v="10"/>
    <x v="0"/>
    <x v="3"/>
    <n v="176"/>
    <n v="92"/>
    <n v="406"/>
    <n v="66.358500014757738"/>
    <s v=""/>
    <n v="2616"/>
    <n v="12"/>
    <n v="1"/>
    <n v="10025"/>
    <x v="0"/>
  </r>
  <r>
    <n v="10"/>
    <x v="1"/>
    <x v="0"/>
    <n v="267"/>
    <n v="87"/>
    <n v="271"/>
    <n v="393.27919998322614"/>
    <s v=""/>
    <n v="7651"/>
    <n v="44"/>
    <n v="10"/>
    <n v="10041"/>
    <x v="0"/>
  </r>
  <r>
    <n v="10"/>
    <x v="1"/>
    <x v="1"/>
    <n v="315"/>
    <n v="91"/>
    <n v="265"/>
    <n v="2282.7664999931585"/>
    <s v=""/>
    <n v="76999"/>
    <n v="336"/>
    <n v="55"/>
    <n v="10042"/>
    <x v="0"/>
  </r>
  <r>
    <n v="10"/>
    <x v="1"/>
    <x v="2"/>
    <n v="333"/>
    <n v="97"/>
    <n v="364"/>
    <n v="164.99789999215864"/>
    <s v=""/>
    <n v="5004"/>
    <n v="25"/>
    <n v="2"/>
    <n v="10043"/>
    <x v="0"/>
  </r>
  <r>
    <n v="10"/>
    <x v="1"/>
    <x v="3"/>
    <n v="382"/>
    <n v="107"/>
    <n v="463"/>
    <n v="20514.002600015374"/>
    <s v=""/>
    <n v="2849218"/>
    <n v="274"/>
    <n v="13"/>
    <n v="10045"/>
    <x v="0"/>
  </r>
  <r>
    <n v="10"/>
    <x v="2"/>
    <x v="0"/>
    <n v="278"/>
    <n v="80"/>
    <n v="250"/>
    <n v="285.90320001239888"/>
    <s v=""/>
    <n v="5218"/>
    <n v="34"/>
    <n v="7"/>
    <n v="10051"/>
    <x v="0"/>
  </r>
  <r>
    <n v="10"/>
    <x v="2"/>
    <x v="1"/>
    <n v="356"/>
    <n v="86"/>
    <n v="268"/>
    <n v="978.17409998970106"/>
    <s v=""/>
    <n v="28919"/>
    <n v="137"/>
    <n v="21"/>
    <n v="10052"/>
    <x v="0"/>
  </r>
  <r>
    <n v="10"/>
    <x v="2"/>
    <x v="2"/>
    <n v="379"/>
    <n v="96"/>
    <n v="334"/>
    <n v="515.91190000181086"/>
    <s v=""/>
    <n v="14251"/>
    <n v="77"/>
    <n v="8"/>
    <n v="10053"/>
    <x v="0"/>
  </r>
  <r>
    <n v="10"/>
    <x v="2"/>
    <x v="3"/>
    <n v="487"/>
    <n v="117"/>
    <n v="466"/>
    <n v="3651.4661000110209"/>
    <s v=""/>
    <n v="114220"/>
    <n v="706"/>
    <n v="35"/>
    <n v="10055"/>
    <x v="0"/>
  </r>
  <r>
    <n v="10"/>
    <x v="3"/>
    <x v="0"/>
    <n v="351"/>
    <n v="72"/>
    <n v="226"/>
    <n v="248.40479998965748"/>
    <s v=""/>
    <n v="3146"/>
    <n v="20"/>
    <n v="3"/>
    <n v="10061"/>
    <x v="0"/>
  </r>
  <r>
    <n v="10"/>
    <x v="3"/>
    <x v="1"/>
    <n v="424"/>
    <n v="101"/>
    <n v="316"/>
    <n v="422.61219999636523"/>
    <s v=""/>
    <n v="9432"/>
    <n v="42"/>
    <n v="5"/>
    <n v="10062"/>
    <x v="0"/>
  </r>
  <r>
    <n v="10"/>
    <x v="3"/>
    <x v="2"/>
    <n v="573"/>
    <n v="115"/>
    <n v="370"/>
    <n v="540.50430000643246"/>
    <s v=""/>
    <n v="17312"/>
    <n v="87"/>
    <n v="8"/>
    <n v="10063"/>
    <x v="0"/>
  </r>
  <r>
    <n v="10"/>
    <x v="3"/>
    <x v="3"/>
    <m/>
    <m/>
    <n v="484"/>
    <m/>
    <s v="solver exceeded time limit"/>
    <m/>
    <m/>
    <m/>
    <n v="10065"/>
    <x v="1"/>
  </r>
  <r>
    <n v="10"/>
    <x v="4"/>
    <x v="0"/>
    <n v="468"/>
    <n v="95"/>
    <n v="295"/>
    <n v="1458.3265999972355"/>
    <s v=""/>
    <n v="32750"/>
    <n v="132"/>
    <n v="30"/>
    <n v="10081"/>
    <x v="0"/>
  </r>
  <r>
    <n v="10"/>
    <x v="4"/>
    <x v="1"/>
    <n v="512"/>
    <n v="89"/>
    <n v="277"/>
    <n v="341.51530000963248"/>
    <s v=""/>
    <n v="7515"/>
    <n v="54"/>
    <n v="6"/>
    <n v="10082"/>
    <x v="0"/>
  </r>
  <r>
    <n v="10"/>
    <x v="4"/>
    <x v="2"/>
    <m/>
    <m/>
    <n v="373"/>
    <m/>
    <s v="solver exceeded time limit"/>
    <m/>
    <m/>
    <m/>
    <n v="10083"/>
    <x v="1"/>
  </r>
  <r>
    <n v="10"/>
    <x v="4"/>
    <x v="3"/>
    <n v="772"/>
    <n v="116"/>
    <n v="484"/>
    <n v="37121.33600001107"/>
    <s v=""/>
    <n v="2909196"/>
    <n v="3724"/>
    <n v="231"/>
    <n v="10085"/>
    <x v="0"/>
  </r>
  <r>
    <n v="11"/>
    <x v="0"/>
    <x v="0"/>
    <n v="101"/>
    <n v="63"/>
    <n v="199"/>
    <n v="26.994200015906245"/>
    <s v=""/>
    <n v="512"/>
    <n v="4"/>
    <n v="1"/>
    <n v="11021"/>
    <x v="0"/>
  </r>
  <r>
    <n v="11"/>
    <x v="0"/>
    <x v="1"/>
    <n v="165"/>
    <n v="85"/>
    <n v="268"/>
    <n v="39.122599991969764"/>
    <s v=""/>
    <n v="1212"/>
    <n v="6"/>
    <n v="1"/>
    <n v="11022"/>
    <x v="0"/>
  </r>
  <r>
    <n v="11"/>
    <x v="0"/>
    <x v="2"/>
    <n v="144"/>
    <n v="76"/>
    <n v="256"/>
    <n v="36.358200013637543"/>
    <s v=""/>
    <n v="1033"/>
    <n v="8"/>
    <n v="1"/>
    <n v="11023"/>
    <x v="0"/>
  </r>
  <r>
    <n v="11"/>
    <x v="0"/>
    <x v="3"/>
    <n v="187"/>
    <n v="98"/>
    <n v="355"/>
    <n v="398.16869999049231"/>
    <s v=""/>
    <n v="17361"/>
    <n v="120"/>
    <n v="7"/>
    <n v="11025"/>
    <x v="0"/>
  </r>
  <r>
    <n v="11"/>
    <x v="1"/>
    <x v="0"/>
    <n v="219"/>
    <n v="82"/>
    <n v="256"/>
    <n v="271.83919999515638"/>
    <s v=""/>
    <n v="5120"/>
    <n v="28"/>
    <n v="6"/>
    <n v="11041"/>
    <x v="0"/>
  </r>
  <r>
    <n v="11"/>
    <x v="1"/>
    <x v="1"/>
    <n v="244"/>
    <n v="76"/>
    <n v="238"/>
    <n v="1766.4222000166774"/>
    <s v=""/>
    <n v="124370"/>
    <n v="203"/>
    <n v="30"/>
    <n v="11042"/>
    <x v="0"/>
  </r>
  <r>
    <n v="11"/>
    <x v="1"/>
    <x v="2"/>
    <n v="318"/>
    <n v="101"/>
    <n v="307"/>
    <n v="90.605700010200962"/>
    <s v=""/>
    <n v="2845"/>
    <n v="17"/>
    <n v="1"/>
    <n v="11043"/>
    <x v="0"/>
  </r>
  <r>
    <n v="11"/>
    <x v="1"/>
    <x v="3"/>
    <n v="392"/>
    <n v="105"/>
    <n v="358"/>
    <n v="1424.7102000226732"/>
    <s v=""/>
    <n v="64024"/>
    <n v="342"/>
    <n v="21"/>
    <n v="11045"/>
    <x v="0"/>
  </r>
  <r>
    <n v="11"/>
    <x v="2"/>
    <x v="0"/>
    <n v="316"/>
    <n v="74"/>
    <n v="232"/>
    <n v="138.88449998921715"/>
    <s v=""/>
    <n v="2560"/>
    <n v="18"/>
    <n v="3"/>
    <n v="11051"/>
    <x v="0"/>
  </r>
  <r>
    <n v="11"/>
    <x v="2"/>
    <x v="1"/>
    <n v="339"/>
    <n v="80"/>
    <n v="268"/>
    <n v="214.14520000689663"/>
    <s v=""/>
    <n v="5270"/>
    <n v="33"/>
    <n v="4"/>
    <n v="11052"/>
    <x v="0"/>
  </r>
  <r>
    <n v="11"/>
    <x v="2"/>
    <x v="2"/>
    <n v="355"/>
    <n v="87"/>
    <n v="265"/>
    <n v="139.0121000004001"/>
    <s v=""/>
    <n v="4108"/>
    <n v="29"/>
    <n v="2"/>
    <n v="11053"/>
    <x v="0"/>
  </r>
  <r>
    <n v="11"/>
    <x v="2"/>
    <x v="3"/>
    <n v="463"/>
    <n v="125"/>
    <n v="427"/>
    <n v="3661.6837000183295"/>
    <s v=""/>
    <n v="170386"/>
    <n v="763"/>
    <n v="47"/>
    <n v="11055"/>
    <x v="0"/>
  </r>
  <r>
    <n v="11"/>
    <x v="3"/>
    <x v="0"/>
    <n v="359"/>
    <n v="84"/>
    <n v="262"/>
    <n v="104.04700000071898"/>
    <s v=""/>
    <n v="2261"/>
    <n v="12"/>
    <n v="1"/>
    <n v="11061"/>
    <x v="0"/>
  </r>
  <r>
    <n v="11"/>
    <x v="3"/>
    <x v="1"/>
    <n v="467"/>
    <n v="95"/>
    <n v="283"/>
    <n v="397.5190999917686"/>
    <s v=""/>
    <n v="10922"/>
    <n v="54"/>
    <n v="7"/>
    <n v="11062"/>
    <x v="0"/>
  </r>
  <r>
    <n v="11"/>
    <x v="3"/>
    <x v="2"/>
    <n v="497"/>
    <n v="107"/>
    <n v="331"/>
    <n v="485.20910000661388"/>
    <s v=""/>
    <n v="10517"/>
    <n v="60"/>
    <n v="5"/>
    <n v="11063"/>
    <x v="0"/>
  </r>
  <r>
    <n v="11"/>
    <x v="3"/>
    <x v="3"/>
    <n v="604"/>
    <n v="113"/>
    <n v="427"/>
    <n v="494.30160000338219"/>
    <s v=""/>
    <n v="18958"/>
    <n v="106"/>
    <n v="5"/>
    <n v="11065"/>
    <x v="0"/>
  </r>
  <r>
    <n v="11"/>
    <x v="4"/>
    <x v="0"/>
    <n v="480"/>
    <n v="70"/>
    <n v="220"/>
    <n v="173.82880000513978"/>
    <s v=""/>
    <n v="3146"/>
    <n v="20"/>
    <n v="2"/>
    <n v="11081"/>
    <x v="0"/>
  </r>
  <r>
    <n v="11"/>
    <x v="4"/>
    <x v="1"/>
    <n v="577"/>
    <n v="87"/>
    <n v="271"/>
    <n v="30544.702299986966"/>
    <s v=""/>
    <n v="819945"/>
    <n v="4701"/>
    <n v="759"/>
    <n v="11082"/>
    <x v="0"/>
  </r>
  <r>
    <n v="11"/>
    <x v="4"/>
    <x v="2"/>
    <n v="623"/>
    <n v="102"/>
    <n v="316"/>
    <n v="10053.251700010151"/>
    <s v=""/>
    <n v="1179793"/>
    <n v="346"/>
    <n v="34"/>
    <n v="11083"/>
    <x v="0"/>
  </r>
  <r>
    <n v="11"/>
    <x v="4"/>
    <x v="3"/>
    <m/>
    <m/>
    <n v="394"/>
    <m/>
    <s v="solver exceeded time limit"/>
    <m/>
    <m/>
    <m/>
    <n v="11085"/>
    <x v="1"/>
  </r>
  <r>
    <n v="12"/>
    <x v="0"/>
    <x v="0"/>
    <n v="93"/>
    <n v="55"/>
    <n v="175"/>
    <n v="22.536300006322563"/>
    <s v=""/>
    <n v="353"/>
    <n v="4"/>
    <n v="1"/>
    <n v="12021"/>
    <x v="0"/>
  </r>
  <r>
    <n v="12"/>
    <x v="0"/>
    <x v="1"/>
    <n v="178"/>
    <n v="92"/>
    <n v="256"/>
    <n v="36.657999997260049"/>
    <s v=""/>
    <n v="1086"/>
    <n v="6"/>
    <n v="1"/>
    <n v="12022"/>
    <x v="0"/>
  </r>
  <r>
    <n v="12"/>
    <x v="0"/>
    <x v="2"/>
    <n v="159"/>
    <n v="83"/>
    <n v="382"/>
    <n v="308.69700000039302"/>
    <s v=""/>
    <n v="7792"/>
    <n v="48"/>
    <n v="6"/>
    <n v="12023"/>
    <x v="0"/>
  </r>
  <r>
    <n v="12"/>
    <x v="0"/>
    <x v="3"/>
    <n v="156"/>
    <n v="90"/>
    <n v="430"/>
    <n v="63.167599990265444"/>
    <s v=""/>
    <n v="2151"/>
    <n v="16"/>
    <n v="1"/>
    <n v="12025"/>
    <x v="0"/>
  </r>
  <r>
    <n v="12"/>
    <x v="1"/>
    <x v="0"/>
    <n v="258"/>
    <n v="74"/>
    <n v="232"/>
    <n v="313.26180000905879"/>
    <s v=""/>
    <n v="7139"/>
    <n v="40"/>
    <n v="9"/>
    <n v="12041"/>
    <x v="0"/>
  </r>
  <r>
    <n v="12"/>
    <x v="1"/>
    <x v="1"/>
    <n v="301"/>
    <n v="90"/>
    <n v="286"/>
    <n v="480.39609999977984"/>
    <s v=""/>
    <n v="13414"/>
    <n v="72"/>
    <n v="11"/>
    <n v="12042"/>
    <x v="0"/>
  </r>
  <r>
    <n v="12"/>
    <x v="1"/>
    <x v="2"/>
    <n v="311"/>
    <n v="90"/>
    <n v="406"/>
    <n v="23281.885500007775"/>
    <s v=""/>
    <n v="3108239"/>
    <n v="354"/>
    <n v="34"/>
    <n v="12043"/>
    <x v="0"/>
  </r>
  <r>
    <n v="12"/>
    <x v="1"/>
    <x v="3"/>
    <n v="379"/>
    <n v="108"/>
    <n v="382"/>
    <n v="293.92859997460619"/>
    <s v=""/>
    <n v="11303"/>
    <n v="104"/>
    <n v="4"/>
    <n v="12045"/>
    <x v="0"/>
  </r>
  <r>
    <n v="12"/>
    <x v="2"/>
    <x v="0"/>
    <n v="276"/>
    <n v="68"/>
    <n v="214"/>
    <n v="361.62979999789968"/>
    <s v=""/>
    <n v="7480"/>
    <n v="50"/>
    <n v="11"/>
    <n v="12051"/>
    <x v="0"/>
  </r>
  <r>
    <n v="12"/>
    <x v="2"/>
    <x v="1"/>
    <n v="326"/>
    <n v="77"/>
    <n v="241"/>
    <n v="123.06010001339018"/>
    <s v=""/>
    <n v="3654"/>
    <n v="21"/>
    <n v="2"/>
    <n v="12052"/>
    <x v="0"/>
  </r>
  <r>
    <n v="12"/>
    <x v="2"/>
    <x v="2"/>
    <n v="412"/>
    <n v="89"/>
    <n v="328"/>
    <n v="2652.0687000011094"/>
    <s v=""/>
    <n v="284271"/>
    <n v="138"/>
    <n v="14"/>
    <n v="12053"/>
    <x v="0"/>
  </r>
  <r>
    <n v="12"/>
    <x v="2"/>
    <x v="3"/>
    <m/>
    <m/>
    <n v="412"/>
    <m/>
    <s v="solver exceeded time limit"/>
    <m/>
    <m/>
    <m/>
    <n v="12055"/>
    <x v="1"/>
  </r>
  <r>
    <n v="12"/>
    <x v="3"/>
    <x v="0"/>
    <n v="320"/>
    <n v="69"/>
    <n v="217"/>
    <n v="184.29879998438992"/>
    <s v=""/>
    <n v="4238"/>
    <n v="24"/>
    <n v="4"/>
    <n v="12061"/>
    <x v="0"/>
  </r>
  <r>
    <n v="12"/>
    <x v="3"/>
    <x v="1"/>
    <n v="438"/>
    <n v="91"/>
    <n v="283"/>
    <n v="603.01690001506358"/>
    <s v=""/>
    <n v="13101"/>
    <n v="89"/>
    <n v="12"/>
    <n v="12062"/>
    <x v="0"/>
  </r>
  <r>
    <n v="12"/>
    <x v="3"/>
    <x v="2"/>
    <n v="541"/>
    <n v="111"/>
    <n v="370"/>
    <n v="1718.3553000213578"/>
    <s v=""/>
    <n v="57385"/>
    <n v="272"/>
    <n v="28"/>
    <n v="12063"/>
    <x v="0"/>
  </r>
  <r>
    <n v="12"/>
    <x v="3"/>
    <x v="3"/>
    <m/>
    <m/>
    <n v="487"/>
    <m/>
    <s v="solver exceeded time limit"/>
    <m/>
    <m/>
    <m/>
    <n v="12065"/>
    <x v="1"/>
  </r>
  <r>
    <n v="12"/>
    <x v="4"/>
    <x v="0"/>
    <n v="449"/>
    <n v="80"/>
    <n v="250"/>
    <n v="351.44560001208447"/>
    <s v=""/>
    <n v="6752"/>
    <n v="44"/>
    <n v="8"/>
    <n v="12081"/>
    <x v="0"/>
  </r>
  <r>
    <n v="12"/>
    <x v="4"/>
    <x v="1"/>
    <n v="590"/>
    <n v="99"/>
    <n v="307"/>
    <n v="863.42599999625236"/>
    <s v=""/>
    <n v="21652"/>
    <n v="125"/>
    <n v="17"/>
    <n v="12082"/>
    <x v="0"/>
  </r>
  <r>
    <n v="12"/>
    <x v="4"/>
    <x v="2"/>
    <m/>
    <m/>
    <n v="334"/>
    <m/>
    <s v="solver exceeded time limit"/>
    <m/>
    <m/>
    <m/>
    <n v="12083"/>
    <x v="1"/>
  </r>
  <r>
    <n v="12"/>
    <x v="4"/>
    <x v="3"/>
    <m/>
    <m/>
    <n v="442"/>
    <m/>
    <s v="solver exceeded time limit"/>
    <m/>
    <m/>
    <m/>
    <n v="12085"/>
    <x v="1"/>
  </r>
  <r>
    <n v="13"/>
    <x v="0"/>
    <x v="0"/>
    <n v="122"/>
    <n v="72"/>
    <n v="226"/>
    <n v="31.111999996937811"/>
    <s v=""/>
    <n v="624"/>
    <n v="4"/>
    <n v="1"/>
    <n v="13021"/>
    <x v="0"/>
  </r>
  <r>
    <n v="13"/>
    <x v="0"/>
    <x v="1"/>
    <n v="133"/>
    <n v="73"/>
    <n v="229"/>
    <n v="63.220200012437999"/>
    <s v=""/>
    <n v="1462"/>
    <n v="12"/>
    <n v="2"/>
    <n v="13022"/>
    <x v="0"/>
  </r>
  <r>
    <n v="13"/>
    <x v="0"/>
    <x v="2"/>
    <n v="180"/>
    <n v="101"/>
    <n v="289"/>
    <n v="199.68160000280477"/>
    <s v=""/>
    <n v="6581"/>
    <n v="32"/>
    <n v="4"/>
    <n v="13023"/>
    <x v="0"/>
  </r>
  <r>
    <n v="13"/>
    <x v="0"/>
    <x v="3"/>
    <n v="209"/>
    <n v="119"/>
    <n v="469"/>
    <n v="2774.3372000113595"/>
    <s v=""/>
    <n v="382830"/>
    <n v="32"/>
    <n v="2"/>
    <n v="13025"/>
    <x v="0"/>
  </r>
  <r>
    <n v="13"/>
    <x v="1"/>
    <x v="0"/>
    <n v="301"/>
    <n v="91"/>
    <n v="283"/>
    <n v="152.21520001068711"/>
    <s v=""/>
    <n v="2957"/>
    <n v="12"/>
    <n v="2"/>
    <n v="13041"/>
    <x v="0"/>
  </r>
  <r>
    <n v="13"/>
    <x v="1"/>
    <x v="1"/>
    <n v="250"/>
    <n v="69"/>
    <n v="262"/>
    <n v="71.48439998854883"/>
    <s v=""/>
    <n v="1660"/>
    <n v="12"/>
    <n v="1"/>
    <n v="13042"/>
    <x v="0"/>
  </r>
  <r>
    <n v="13"/>
    <x v="1"/>
    <x v="2"/>
    <n v="315"/>
    <n v="104"/>
    <n v="418"/>
    <n v="1063.9776999887545"/>
    <s v=""/>
    <n v="24477"/>
    <n v="170"/>
    <n v="18"/>
    <n v="13043"/>
    <x v="0"/>
  </r>
  <r>
    <n v="13"/>
    <x v="1"/>
    <x v="3"/>
    <n v="364"/>
    <n v="103"/>
    <n v="448"/>
    <n v="4459.0567999985069"/>
    <s v=""/>
    <n v="273566"/>
    <n v="982"/>
    <n v="48"/>
    <n v="13045"/>
    <x v="0"/>
  </r>
  <r>
    <n v="13"/>
    <x v="2"/>
    <x v="0"/>
    <m/>
    <m/>
    <n v="250"/>
    <m/>
    <s v="solver exceeded time limit"/>
    <m/>
    <m/>
    <m/>
    <n v="13051"/>
    <x v="1"/>
  </r>
  <r>
    <n v="13"/>
    <x v="2"/>
    <x v="1"/>
    <n v="342"/>
    <n v="85"/>
    <n v="256"/>
    <n v="388.40279998839833"/>
    <s v=""/>
    <n v="12451"/>
    <n v="63"/>
    <n v="9"/>
    <n v="13052"/>
    <x v="0"/>
  </r>
  <r>
    <n v="13"/>
    <x v="2"/>
    <x v="2"/>
    <n v="420"/>
    <n v="103"/>
    <n v="316"/>
    <n v="437.77140000020154"/>
    <s v=""/>
    <n v="13438"/>
    <n v="86"/>
    <n v="8"/>
    <n v="13053"/>
    <x v="0"/>
  </r>
  <r>
    <n v="13"/>
    <x v="2"/>
    <x v="3"/>
    <m/>
    <m/>
    <n v="460"/>
    <m/>
    <s v="solver exceeded time limit"/>
    <m/>
    <m/>
    <m/>
    <n v="13055"/>
    <x v="1"/>
  </r>
  <r>
    <n v="13"/>
    <x v="3"/>
    <x v="0"/>
    <n v="319"/>
    <n v="80"/>
    <n v="250"/>
    <n v="4069.9468000093475"/>
    <s v=""/>
    <n v="124826"/>
    <n v="448"/>
    <n v="110"/>
    <n v="13061"/>
    <x v="0"/>
  </r>
  <r>
    <n v="13"/>
    <x v="3"/>
    <x v="1"/>
    <n v="391"/>
    <n v="84"/>
    <n v="310"/>
    <n v="311.68670000624843"/>
    <s v=""/>
    <n v="5896"/>
    <n v="48"/>
    <n v="6"/>
    <n v="13062"/>
    <x v="0"/>
  </r>
  <r>
    <n v="13"/>
    <x v="3"/>
    <x v="2"/>
    <n v="464"/>
    <n v="90"/>
    <n v="370"/>
    <n v="2808.3004000072833"/>
    <s v=""/>
    <n v="82439"/>
    <n v="426"/>
    <n v="49"/>
    <n v="13063"/>
    <x v="0"/>
  </r>
  <r>
    <n v="13"/>
    <x v="3"/>
    <x v="3"/>
    <n v="577"/>
    <n v="128"/>
    <n v="418"/>
    <n v="2467.4233000259846"/>
    <s v=""/>
    <n v="92785"/>
    <n v="559"/>
    <n v="32"/>
    <n v="13065"/>
    <x v="0"/>
  </r>
  <r>
    <n v="13"/>
    <x v="4"/>
    <x v="0"/>
    <n v="514"/>
    <n v="89"/>
    <n v="277"/>
    <n v="297.90959999081679"/>
    <s v=""/>
    <n v="6946"/>
    <n v="32"/>
    <n v="5"/>
    <n v="13081"/>
    <x v="0"/>
  </r>
  <r>
    <n v="13"/>
    <x v="4"/>
    <x v="1"/>
    <n v="643"/>
    <n v="102"/>
    <n v="310"/>
    <n v="9596.1765000247397"/>
    <s v=""/>
    <n v="355863"/>
    <n v="1231"/>
    <n v="191"/>
    <n v="13082"/>
    <x v="0"/>
  </r>
  <r>
    <n v="13"/>
    <x v="4"/>
    <x v="2"/>
    <n v="625"/>
    <n v="109"/>
    <n v="358"/>
    <n v="1702.148499985924"/>
    <s v=""/>
    <n v="55326"/>
    <n v="280"/>
    <n v="28"/>
    <n v="13083"/>
    <x v="0"/>
  </r>
  <r>
    <n v="13"/>
    <x v="4"/>
    <x v="3"/>
    <n v="799"/>
    <n v="117"/>
    <n v="415"/>
    <n v="11125.694200018188"/>
    <s v=""/>
    <n v="474746"/>
    <n v="2796"/>
    <n v="139"/>
    <n v="13085"/>
    <x v="0"/>
  </r>
  <r>
    <n v="14"/>
    <x v="0"/>
    <x v="0"/>
    <n v="187"/>
    <n v="101"/>
    <n v="313"/>
    <n v="98.989699996309355"/>
    <s v=""/>
    <n v="3138"/>
    <n v="8"/>
    <n v="2"/>
    <n v="14021"/>
    <x v="0"/>
  </r>
  <r>
    <n v="14"/>
    <x v="0"/>
    <x v="1"/>
    <n v="135"/>
    <n v="72"/>
    <n v="226"/>
    <n v="744.63260002085008"/>
    <s v=""/>
    <n v="19490"/>
    <n v="153"/>
    <n v="22"/>
    <n v="14022"/>
    <x v="0"/>
  </r>
  <r>
    <n v="14"/>
    <x v="0"/>
    <x v="2"/>
    <n v="180"/>
    <n v="106"/>
    <n v="382"/>
    <n v="57.761399977607653"/>
    <s v=""/>
    <n v="1785"/>
    <n v="8"/>
    <n v="1"/>
    <n v="14023"/>
    <x v="0"/>
  </r>
  <r>
    <n v="14"/>
    <x v="0"/>
    <x v="3"/>
    <n v="199"/>
    <n v="108"/>
    <n v="448"/>
    <n v="618.28520000563003"/>
    <s v=""/>
    <n v="25028"/>
    <n v="165"/>
    <n v="8"/>
    <n v="14025"/>
    <x v="0"/>
  </r>
  <r>
    <n v="14"/>
    <x v="1"/>
    <x v="0"/>
    <n v="256"/>
    <n v="84"/>
    <n v="262"/>
    <n v="126.37399998493493"/>
    <s v=""/>
    <n v="2900"/>
    <n v="12"/>
    <n v="2"/>
    <n v="14041"/>
    <x v="0"/>
  </r>
  <r>
    <n v="14"/>
    <x v="1"/>
    <x v="1"/>
    <n v="266"/>
    <n v="91"/>
    <n v="310"/>
    <n v="125.70810000761412"/>
    <s v=""/>
    <n v="2434"/>
    <n v="18"/>
    <n v="2"/>
    <n v="14042"/>
    <x v="0"/>
  </r>
  <r>
    <n v="14"/>
    <x v="1"/>
    <x v="2"/>
    <m/>
    <m/>
    <n v="280"/>
    <m/>
    <s v="solver exceeded time limit"/>
    <m/>
    <m/>
    <m/>
    <n v="14043"/>
    <x v="1"/>
  </r>
  <r>
    <n v="14"/>
    <x v="1"/>
    <x v="3"/>
    <n v="376"/>
    <n v="107"/>
    <n v="373"/>
    <n v="432.70189999020658"/>
    <s v=""/>
    <n v="13027"/>
    <n v="69"/>
    <n v="3"/>
    <n v="14045"/>
    <x v="0"/>
  </r>
  <r>
    <n v="14"/>
    <x v="2"/>
    <x v="0"/>
    <n v="284"/>
    <n v="70"/>
    <n v="220"/>
    <n v="229.34839999652468"/>
    <s v=""/>
    <n v="4222"/>
    <n v="22"/>
    <n v="4"/>
    <n v="14051"/>
    <x v="0"/>
  </r>
  <r>
    <n v="14"/>
    <x v="2"/>
    <x v="1"/>
    <n v="327"/>
    <n v="83"/>
    <n v="235"/>
    <n v="2394.5229999953881"/>
    <s v=""/>
    <n v="88347"/>
    <n v="400"/>
    <n v="63"/>
    <n v="14052"/>
    <x v="0"/>
  </r>
  <r>
    <n v="14"/>
    <x v="2"/>
    <x v="2"/>
    <n v="423"/>
    <n v="105"/>
    <n v="319"/>
    <n v="256.70100000570528"/>
    <s v=""/>
    <n v="6435"/>
    <n v="39"/>
    <n v="3"/>
    <n v="14053"/>
    <x v="0"/>
  </r>
  <r>
    <n v="14"/>
    <x v="2"/>
    <x v="3"/>
    <n v="483"/>
    <n v="105"/>
    <n v="457"/>
    <n v="41856.799300003331"/>
    <s v=""/>
    <n v="2437101"/>
    <n v="6807"/>
    <n v="408"/>
    <n v="14055"/>
    <x v="0"/>
  </r>
  <r>
    <n v="14"/>
    <x v="3"/>
    <x v="0"/>
    <n v="309"/>
    <n v="75"/>
    <n v="235"/>
    <n v="182.30519999633543"/>
    <s v=""/>
    <n v="3263"/>
    <n v="24"/>
    <n v="4"/>
    <n v="14061"/>
    <x v="0"/>
  </r>
  <r>
    <n v="14"/>
    <x v="3"/>
    <x v="1"/>
    <n v="385"/>
    <n v="82"/>
    <n v="328"/>
    <n v="296.13669999525882"/>
    <s v=""/>
    <n v="5829"/>
    <n v="44"/>
    <n v="5"/>
    <n v="14062"/>
    <x v="0"/>
  </r>
  <r>
    <n v="14"/>
    <x v="3"/>
    <x v="2"/>
    <n v="499"/>
    <n v="93"/>
    <n v="322"/>
    <n v="15302.041899994947"/>
    <s v=""/>
    <n v="788329"/>
    <n v="2069"/>
    <n v="241"/>
    <n v="14063"/>
    <x v="0"/>
  </r>
  <r>
    <n v="14"/>
    <x v="3"/>
    <x v="3"/>
    <n v="562"/>
    <n v="116"/>
    <n v="448"/>
    <n v="9421.5535999974236"/>
    <s v=""/>
    <n v="1168890"/>
    <n v="282"/>
    <n v="14"/>
    <n v="14065"/>
    <x v="0"/>
  </r>
  <r>
    <n v="14"/>
    <x v="4"/>
    <x v="0"/>
    <n v="462"/>
    <n v="82"/>
    <n v="250"/>
    <n v="396.94050000980496"/>
    <s v=""/>
    <n v="13123"/>
    <n v="44"/>
    <n v="8"/>
    <n v="14081"/>
    <x v="0"/>
  </r>
  <r>
    <n v="14"/>
    <x v="4"/>
    <x v="1"/>
    <m/>
    <m/>
    <n v="268"/>
    <m/>
    <s v="solver exceeded time limit"/>
    <m/>
    <m/>
    <m/>
    <n v="14082"/>
    <x v="1"/>
  </r>
  <r>
    <n v="14"/>
    <x v="4"/>
    <x v="2"/>
    <n v="644"/>
    <n v="94"/>
    <n v="364"/>
    <n v="110314.41629998153"/>
    <s v=""/>
    <n v="7089073"/>
    <n v="14647"/>
    <n v="1329"/>
    <n v="14083"/>
    <x v="0"/>
  </r>
  <r>
    <n v="14"/>
    <x v="4"/>
    <x v="3"/>
    <m/>
    <m/>
    <n v="457"/>
    <m/>
    <s v="solver exceeded time limit"/>
    <m/>
    <m/>
    <m/>
    <n v="14085"/>
    <x v="1"/>
  </r>
  <r>
    <n v="15"/>
    <x v="0"/>
    <x v="0"/>
    <n v="123"/>
    <n v="69"/>
    <n v="217"/>
    <n v="88.200400001369417"/>
    <s v=""/>
    <n v="2183"/>
    <n v="12"/>
    <n v="3"/>
    <n v="15021"/>
    <x v="0"/>
  </r>
  <r>
    <n v="15"/>
    <x v="0"/>
    <x v="1"/>
    <n v="109"/>
    <n v="68"/>
    <n v="262"/>
    <n v="35.053100000368431"/>
    <s v=""/>
    <n v="809"/>
    <n v="7"/>
    <n v="1"/>
    <n v="15022"/>
    <x v="0"/>
  </r>
  <r>
    <n v="15"/>
    <x v="0"/>
    <x v="2"/>
    <n v="167"/>
    <n v="84"/>
    <n v="331"/>
    <n v="48.264899989590049"/>
    <s v=""/>
    <n v="1593"/>
    <n v="8"/>
    <n v="1"/>
    <n v="15023"/>
    <x v="0"/>
  </r>
  <r>
    <n v="15"/>
    <x v="0"/>
    <x v="3"/>
    <n v="171"/>
    <n v="88"/>
    <n v="349"/>
    <n v="57.552400015993044"/>
    <s v=""/>
    <n v="1536"/>
    <n v="13"/>
    <n v="1"/>
    <n v="15025"/>
    <x v="0"/>
  </r>
  <r>
    <n v="15"/>
    <x v="1"/>
    <x v="0"/>
    <n v="197"/>
    <n v="66"/>
    <n v="208"/>
    <n v="141.99020000523888"/>
    <s v=""/>
    <n v="3563"/>
    <n v="20"/>
    <n v="4"/>
    <n v="15041"/>
    <x v="0"/>
  </r>
  <r>
    <n v="15"/>
    <x v="1"/>
    <x v="1"/>
    <n v="277"/>
    <n v="86"/>
    <n v="322"/>
    <n v="1436.5295000025071"/>
    <s v=""/>
    <n v="36674"/>
    <n v="223"/>
    <n v="32"/>
    <n v="15042"/>
    <x v="0"/>
  </r>
  <r>
    <n v="15"/>
    <x v="1"/>
    <x v="2"/>
    <n v="383"/>
    <n v="110"/>
    <n v="340"/>
    <n v="1064.225299982354"/>
    <s v=""/>
    <n v="42729"/>
    <n v="167"/>
    <n v="19"/>
    <n v="15043"/>
    <x v="0"/>
  </r>
  <r>
    <n v="15"/>
    <x v="1"/>
    <x v="3"/>
    <n v="376"/>
    <n v="108"/>
    <n v="412"/>
    <n v="58392.55309998407"/>
    <s v=""/>
    <n v="7475213"/>
    <n v="2022"/>
    <n v="136"/>
    <n v="15045"/>
    <x v="0"/>
  </r>
  <r>
    <n v="15"/>
    <x v="2"/>
    <x v="0"/>
    <n v="253"/>
    <n v="65"/>
    <n v="205"/>
    <n v="94.685299991397187"/>
    <s v=""/>
    <n v="2117"/>
    <n v="14"/>
    <n v="2"/>
    <n v="15051"/>
    <x v="0"/>
  </r>
  <r>
    <n v="15"/>
    <x v="2"/>
    <x v="1"/>
    <n v="360"/>
    <n v="87"/>
    <n v="271"/>
    <n v="3439.0491000085603"/>
    <s v=""/>
    <n v="112567"/>
    <n v="518"/>
    <n v="84"/>
    <n v="15052"/>
    <x v="0"/>
  </r>
  <r>
    <n v="15"/>
    <x v="2"/>
    <x v="2"/>
    <n v="438"/>
    <n v="100"/>
    <n v="304"/>
    <n v="157.4096999829635"/>
    <s v=""/>
    <n v="4968"/>
    <n v="32"/>
    <n v="2"/>
    <n v="15053"/>
    <x v="0"/>
  </r>
  <r>
    <n v="15"/>
    <x v="2"/>
    <x v="3"/>
    <n v="443"/>
    <n v="114"/>
    <n v="382"/>
    <n v="3889.9840000085533"/>
    <s v=""/>
    <n v="372203"/>
    <n v="256"/>
    <n v="13"/>
    <n v="15055"/>
    <x v="0"/>
  </r>
  <r>
    <n v="15"/>
    <x v="3"/>
    <x v="0"/>
    <n v="272"/>
    <n v="59"/>
    <n v="187"/>
    <n v="395.40919999126345"/>
    <s v=""/>
    <n v="7339"/>
    <n v="64"/>
    <n v="14"/>
    <n v="15061"/>
    <x v="0"/>
  </r>
  <r>
    <n v="15"/>
    <x v="3"/>
    <x v="1"/>
    <n v="497"/>
    <n v="126"/>
    <n v="388"/>
    <n v="8372.7901000238489"/>
    <s v=""/>
    <n v="204636"/>
    <n v="816"/>
    <n v="134"/>
    <n v="15062"/>
    <x v="0"/>
  </r>
  <r>
    <n v="15"/>
    <x v="3"/>
    <x v="2"/>
    <m/>
    <m/>
    <n v="346"/>
    <m/>
    <s v="solver exceeded time limit"/>
    <m/>
    <m/>
    <m/>
    <n v="15063"/>
    <x v="1"/>
  </r>
  <r>
    <n v="15"/>
    <x v="3"/>
    <x v="3"/>
    <m/>
    <m/>
    <n v="427"/>
    <m/>
    <s v="solver exceeded time limit"/>
    <m/>
    <m/>
    <m/>
    <n v="15065"/>
    <x v="1"/>
  </r>
  <r>
    <n v="15"/>
    <x v="4"/>
    <x v="0"/>
    <n v="482"/>
    <n v="93"/>
    <n v="289"/>
    <n v="357.96140000456944"/>
    <s v=""/>
    <n v="5621"/>
    <n v="28"/>
    <n v="4"/>
    <n v="15081"/>
    <x v="0"/>
  </r>
  <r>
    <n v="15"/>
    <x v="4"/>
    <x v="1"/>
    <n v="578"/>
    <n v="99"/>
    <n v="307"/>
    <n v="49914.803399995435"/>
    <s v=""/>
    <n v="1779290"/>
    <n v="6036"/>
    <n v="955"/>
    <n v="15082"/>
    <x v="0"/>
  </r>
  <r>
    <n v="15"/>
    <x v="4"/>
    <x v="2"/>
    <m/>
    <m/>
    <n v="352"/>
    <m/>
    <s v="solver exceeded time limit"/>
    <m/>
    <m/>
    <m/>
    <n v="15083"/>
    <x v="1"/>
  </r>
  <r>
    <n v="15"/>
    <x v="4"/>
    <x v="3"/>
    <n v="718"/>
    <n v="106"/>
    <n v="436"/>
    <n v="5000.919599988265"/>
    <s v=""/>
    <n v="129392"/>
    <n v="840"/>
    <n v="47"/>
    <n v="15085"/>
    <x v="0"/>
  </r>
  <r>
    <n v="16"/>
    <x v="0"/>
    <x v="0"/>
    <n v="127"/>
    <n v="69"/>
    <n v="217"/>
    <n v="53.801899979589507"/>
    <s v=""/>
    <n v="776"/>
    <n v="4"/>
    <n v="1"/>
    <n v="16021"/>
    <x v="0"/>
  </r>
  <r>
    <n v="16"/>
    <x v="0"/>
    <x v="1"/>
    <n v="115"/>
    <n v="58"/>
    <n v="178"/>
    <n v="49.721599993063137"/>
    <s v=""/>
    <n v="926"/>
    <n v="6"/>
    <n v="1"/>
    <n v="16022"/>
    <x v="0"/>
  </r>
  <r>
    <n v="16"/>
    <x v="0"/>
    <x v="2"/>
    <n v="142"/>
    <n v="78"/>
    <n v="280"/>
    <n v="57.414799986872822"/>
    <s v=""/>
    <n v="1369"/>
    <n v="8"/>
    <n v="1"/>
    <n v="16023"/>
    <x v="0"/>
  </r>
  <r>
    <n v="16"/>
    <x v="0"/>
    <x v="3"/>
    <n v="192"/>
    <n v="103"/>
    <n v="421"/>
    <n v="541.24389999196865"/>
    <s v=""/>
    <n v="17950"/>
    <n v="121"/>
    <n v="7"/>
    <n v="16025"/>
    <x v="0"/>
  </r>
  <r>
    <n v="16"/>
    <x v="1"/>
    <x v="0"/>
    <n v="176"/>
    <n v="79"/>
    <n v="247"/>
    <n v="100.54899999522604"/>
    <s v=""/>
    <n v="1246"/>
    <n v="12"/>
    <n v="2"/>
    <n v="16041"/>
    <x v="0"/>
  </r>
  <r>
    <n v="16"/>
    <x v="1"/>
    <x v="1"/>
    <n v="248"/>
    <n v="79"/>
    <n v="247"/>
    <n v="159.20959998038597"/>
    <s v=""/>
    <n v="3046"/>
    <n v="24"/>
    <n v="3"/>
    <n v="16042"/>
    <x v="0"/>
  </r>
  <r>
    <n v="16"/>
    <x v="1"/>
    <x v="2"/>
    <n v="359"/>
    <n v="112"/>
    <n v="334"/>
    <n v="857.55819999030791"/>
    <s v=""/>
    <n v="22207"/>
    <n v="131"/>
    <n v="15"/>
    <n v="16043"/>
    <x v="0"/>
  </r>
  <r>
    <n v="16"/>
    <x v="1"/>
    <x v="3"/>
    <n v="362"/>
    <n v="108"/>
    <n v="376"/>
    <n v="884.37980000162497"/>
    <s v=""/>
    <n v="28393"/>
    <n v="161"/>
    <n v="10"/>
    <n v="16045"/>
    <x v="0"/>
  </r>
  <r>
    <n v="16"/>
    <x v="2"/>
    <x v="0"/>
    <n v="282"/>
    <n v="88"/>
    <n v="274"/>
    <n v="273.04309999453835"/>
    <s v=""/>
    <n v="4610"/>
    <n v="26"/>
    <n v="5"/>
    <n v="16051"/>
    <x v="0"/>
  </r>
  <r>
    <n v="16"/>
    <x v="2"/>
    <x v="1"/>
    <n v="375"/>
    <n v="93"/>
    <n v="331"/>
    <n v="646.95679998840205"/>
    <s v=""/>
    <n v="12968"/>
    <n v="69"/>
    <n v="10"/>
    <n v="16052"/>
    <x v="0"/>
  </r>
  <r>
    <n v="16"/>
    <x v="2"/>
    <x v="2"/>
    <n v="450"/>
    <n v="105"/>
    <n v="337"/>
    <n v="584.65059997979552"/>
    <s v=""/>
    <n v="16691"/>
    <n v="88"/>
    <n v="9"/>
    <n v="16053"/>
    <x v="0"/>
  </r>
  <r>
    <n v="16"/>
    <x v="2"/>
    <x v="3"/>
    <n v="497"/>
    <n v="129"/>
    <n v="493"/>
    <n v="426.32040000171401"/>
    <s v=""/>
    <n v="14869"/>
    <n v="96"/>
    <n v="4"/>
    <n v="16055"/>
    <x v="0"/>
  </r>
  <r>
    <n v="16"/>
    <x v="3"/>
    <x v="0"/>
    <n v="374"/>
    <n v="81"/>
    <n v="253"/>
    <n v="130.00259999535047"/>
    <s v=""/>
    <n v="2721"/>
    <n v="16"/>
    <n v="2"/>
    <n v="16061"/>
    <x v="0"/>
  </r>
  <r>
    <n v="16"/>
    <x v="3"/>
    <x v="1"/>
    <n v="432"/>
    <n v="97"/>
    <n v="301"/>
    <n v="353.0789999931585"/>
    <s v=""/>
    <n v="7914"/>
    <n v="48"/>
    <n v="6"/>
    <n v="16062"/>
    <x v="0"/>
  </r>
  <r>
    <n v="16"/>
    <x v="3"/>
    <x v="2"/>
    <n v="504"/>
    <n v="111"/>
    <n v="367"/>
    <n v="604.41509998054244"/>
    <s v=""/>
    <n v="15611"/>
    <n v="82"/>
    <n v="8"/>
    <n v="16063"/>
    <x v="0"/>
  </r>
  <r>
    <n v="16"/>
    <x v="3"/>
    <x v="3"/>
    <n v="601"/>
    <n v="125"/>
    <n v="445"/>
    <n v="4173.5205000150017"/>
    <s v=""/>
    <n v="168420"/>
    <n v="890"/>
    <n v="55"/>
    <n v="16065"/>
    <x v="0"/>
  </r>
  <r>
    <n v="16"/>
    <x v="4"/>
    <x v="0"/>
    <n v="416"/>
    <n v="86"/>
    <n v="268"/>
    <n v="523.67409999715164"/>
    <s v=""/>
    <n v="11886"/>
    <n v="56"/>
    <n v="11"/>
    <n v="16081"/>
    <x v="0"/>
  </r>
  <r>
    <n v="16"/>
    <x v="4"/>
    <x v="1"/>
    <n v="609"/>
    <n v="99"/>
    <n v="307"/>
    <n v="3166.6276000032667"/>
    <s v=""/>
    <n v="75531"/>
    <n v="455"/>
    <n v="67"/>
    <n v="16082"/>
    <x v="0"/>
  </r>
  <r>
    <n v="16"/>
    <x v="4"/>
    <x v="2"/>
    <n v="666"/>
    <n v="108"/>
    <n v="334"/>
    <n v="41243.749899993418"/>
    <s v=""/>
    <n v="5138062"/>
    <n v="1108"/>
    <n v="118"/>
    <n v="16083"/>
    <x v="0"/>
  </r>
  <r>
    <n v="16"/>
    <x v="4"/>
    <x v="3"/>
    <m/>
    <m/>
    <n v="460"/>
    <m/>
    <s v="solver exceeded time limit"/>
    <m/>
    <m/>
    <m/>
    <n v="16085"/>
    <x v="1"/>
  </r>
  <r>
    <n v="17"/>
    <x v="0"/>
    <x v="0"/>
    <n v="161"/>
    <n v="89"/>
    <n v="277"/>
    <n v="39.42849999293685"/>
    <s v=""/>
    <n v="1103"/>
    <n v="4"/>
    <n v="1"/>
    <n v="17021"/>
    <x v="0"/>
  </r>
  <r>
    <n v="17"/>
    <x v="0"/>
    <x v="1"/>
    <n v="115"/>
    <n v="73"/>
    <n v="229"/>
    <n v="29.882700007874519"/>
    <s v=""/>
    <n v="629"/>
    <n v="6"/>
    <n v="1"/>
    <n v="17022"/>
    <x v="0"/>
  </r>
  <r>
    <n v="17"/>
    <x v="0"/>
    <x v="2"/>
    <n v="167"/>
    <n v="88"/>
    <n v="274"/>
    <n v="40.93819999252446"/>
    <s v=""/>
    <n v="1470"/>
    <n v="8"/>
    <n v="1"/>
    <n v="17023"/>
    <x v="0"/>
  </r>
  <r>
    <n v="17"/>
    <x v="0"/>
    <x v="3"/>
    <n v="189"/>
    <n v="105"/>
    <n v="382"/>
    <n v="124.0690000122413"/>
    <s v=""/>
    <n v="5453"/>
    <n v="29"/>
    <n v="2"/>
    <n v="17025"/>
    <x v="0"/>
  </r>
  <r>
    <n v="17"/>
    <x v="1"/>
    <x v="0"/>
    <n v="232"/>
    <n v="70"/>
    <n v="220"/>
    <n v="109.59300000104122"/>
    <s v=""/>
    <n v="1803"/>
    <n v="16"/>
    <n v="3"/>
    <n v="17041"/>
    <x v="0"/>
  </r>
  <r>
    <n v="17"/>
    <x v="1"/>
    <x v="1"/>
    <n v="296"/>
    <n v="86"/>
    <n v="328"/>
    <n v="417.0600000070408"/>
    <s v=""/>
    <n v="8025"/>
    <n v="63"/>
    <n v="9"/>
    <n v="17042"/>
    <x v="0"/>
  </r>
  <r>
    <n v="17"/>
    <x v="1"/>
    <x v="2"/>
    <n v="349"/>
    <n v="107"/>
    <n v="376"/>
    <n v="1599.8187999939546"/>
    <s v=""/>
    <n v="57273"/>
    <n v="229"/>
    <n v="26"/>
    <n v="17043"/>
    <x v="0"/>
  </r>
  <r>
    <n v="17"/>
    <x v="1"/>
    <x v="3"/>
    <n v="376"/>
    <n v="120"/>
    <n v="466"/>
    <n v="422.02900000847876"/>
    <s v=""/>
    <n v="15350"/>
    <n v="82"/>
    <n v="5"/>
    <n v="17045"/>
    <x v="0"/>
  </r>
  <r>
    <n v="17"/>
    <x v="2"/>
    <x v="0"/>
    <n v="267"/>
    <n v="80"/>
    <n v="250"/>
    <n v="272.53630000632256"/>
    <s v=""/>
    <n v="5041"/>
    <n v="34"/>
    <n v="7"/>
    <n v="17051"/>
    <x v="0"/>
  </r>
  <r>
    <n v="17"/>
    <x v="2"/>
    <x v="1"/>
    <n v="369"/>
    <n v="96"/>
    <n v="244"/>
    <n v="618.55480002122931"/>
    <s v=""/>
    <n v="19719"/>
    <n v="106"/>
    <n v="16"/>
    <n v="17052"/>
    <x v="0"/>
  </r>
  <r>
    <n v="17"/>
    <x v="2"/>
    <x v="2"/>
    <n v="413"/>
    <n v="107"/>
    <n v="385"/>
    <n v="3247.7673000248615"/>
    <s v=""/>
    <n v="95109"/>
    <n v="455"/>
    <n v="55"/>
    <n v="17053"/>
    <x v="0"/>
  </r>
  <r>
    <n v="17"/>
    <x v="2"/>
    <x v="3"/>
    <n v="495"/>
    <n v="121"/>
    <n v="559"/>
    <n v="4473.3789000019897"/>
    <s v=""/>
    <n v="505396"/>
    <n v="248"/>
    <n v="14"/>
    <n v="17055"/>
    <x v="0"/>
  </r>
  <r>
    <n v="17"/>
    <x v="3"/>
    <x v="0"/>
    <n v="356"/>
    <n v="85"/>
    <n v="265"/>
    <n v="775.54269999382086"/>
    <s v=""/>
    <n v="16745"/>
    <n v="80"/>
    <n v="18"/>
    <n v="17061"/>
    <x v="0"/>
  </r>
  <r>
    <n v="17"/>
    <x v="3"/>
    <x v="1"/>
    <n v="390"/>
    <n v="93"/>
    <n v="289"/>
    <n v="1431.6438999958336"/>
    <s v=""/>
    <n v="26446"/>
    <n v="182"/>
    <n v="28"/>
    <n v="17062"/>
    <x v="0"/>
  </r>
  <r>
    <n v="17"/>
    <x v="3"/>
    <x v="2"/>
    <n v="522"/>
    <n v="104"/>
    <n v="307"/>
    <n v="2650.4046000191011"/>
    <s v=""/>
    <n v="108517"/>
    <n v="391"/>
    <n v="42"/>
    <n v="17063"/>
    <x v="0"/>
  </r>
  <r>
    <n v="17"/>
    <x v="3"/>
    <x v="3"/>
    <m/>
    <m/>
    <n v="454"/>
    <m/>
    <s v="solver exceeded time limit"/>
    <m/>
    <m/>
    <m/>
    <n v="17065"/>
    <x v="1"/>
  </r>
  <r>
    <n v="17"/>
    <x v="4"/>
    <x v="0"/>
    <n v="440"/>
    <n v="75"/>
    <n v="235"/>
    <n v="862.19610000262037"/>
    <s v=""/>
    <n v="11887"/>
    <n v="84"/>
    <n v="18"/>
    <n v="17081"/>
    <x v="0"/>
  </r>
  <r>
    <n v="17"/>
    <x v="4"/>
    <x v="1"/>
    <n v="578"/>
    <n v="93"/>
    <n v="319"/>
    <n v="108269.13060000516"/>
    <s v=""/>
    <n v="2880125"/>
    <n v="13600"/>
    <n v="2258"/>
    <n v="17082"/>
    <x v="0"/>
  </r>
  <r>
    <n v="17"/>
    <x v="4"/>
    <x v="2"/>
    <n v="724"/>
    <n v="112"/>
    <n v="364"/>
    <n v="1738.3540000009816"/>
    <s v=""/>
    <n v="59006"/>
    <n v="257"/>
    <n v="28"/>
    <n v="17083"/>
    <x v="0"/>
  </r>
  <r>
    <n v="17"/>
    <x v="4"/>
    <x v="3"/>
    <m/>
    <m/>
    <n v="445"/>
    <m/>
    <s v="solver exceeded time limit"/>
    <m/>
    <m/>
    <m/>
    <n v="17085"/>
    <x v="1"/>
  </r>
  <r>
    <n v="18"/>
    <x v="0"/>
    <x v="0"/>
    <n v="137"/>
    <n v="89"/>
    <n v="277"/>
    <n v="37.535900017246604"/>
    <s v=""/>
    <n v="895"/>
    <n v="4"/>
    <n v="1"/>
    <n v="18021"/>
    <x v="0"/>
  </r>
  <r>
    <n v="18"/>
    <x v="0"/>
    <x v="1"/>
    <n v="154"/>
    <n v="80"/>
    <n v="250"/>
    <n v="35.839699994539842"/>
    <s v=""/>
    <n v="1082"/>
    <n v="6"/>
    <n v="1"/>
    <n v="18022"/>
    <x v="0"/>
  </r>
  <r>
    <n v="18"/>
    <x v="0"/>
    <x v="2"/>
    <n v="141"/>
    <n v="72"/>
    <n v="259"/>
    <n v="36.175200017169118"/>
    <s v=""/>
    <n v="1095"/>
    <n v="8"/>
    <n v="1"/>
    <n v="18023"/>
    <x v="0"/>
  </r>
  <r>
    <n v="18"/>
    <x v="0"/>
    <x v="3"/>
    <n v="186"/>
    <n v="106"/>
    <n v="400"/>
    <n v="200.6515999964904"/>
    <s v=""/>
    <n v="9608"/>
    <n v="62"/>
    <n v="3"/>
    <n v="18025"/>
    <x v="0"/>
  </r>
  <r>
    <n v="18"/>
    <x v="1"/>
    <x v="0"/>
    <n v="205"/>
    <n v="78"/>
    <n v="244"/>
    <n v="93.14549999544397"/>
    <s v=""/>
    <n v="1621"/>
    <n v="12"/>
    <n v="2"/>
    <n v="18041"/>
    <x v="0"/>
  </r>
  <r>
    <n v="18"/>
    <x v="1"/>
    <x v="1"/>
    <n v="296"/>
    <n v="91"/>
    <n v="295"/>
    <n v="117.16310001793317"/>
    <s v=""/>
    <n v="2690"/>
    <n v="18"/>
    <n v="2"/>
    <n v="18042"/>
    <x v="0"/>
  </r>
  <r>
    <n v="18"/>
    <x v="1"/>
    <x v="2"/>
    <n v="310"/>
    <n v="85"/>
    <n v="319"/>
    <n v="131.25249999575317"/>
    <s v=""/>
    <n v="3638"/>
    <n v="24"/>
    <n v="2"/>
    <n v="18043"/>
    <x v="0"/>
  </r>
  <r>
    <n v="18"/>
    <x v="1"/>
    <x v="3"/>
    <m/>
    <m/>
    <n v="490"/>
    <m/>
    <s v="solver exceeded time limit"/>
    <m/>
    <m/>
    <m/>
    <n v="18045"/>
    <x v="1"/>
  </r>
  <r>
    <n v="18"/>
    <x v="2"/>
    <x v="0"/>
    <n v="338"/>
    <n v="88"/>
    <n v="274"/>
    <n v="128.49020000430755"/>
    <s v=""/>
    <n v="3022"/>
    <n v="14"/>
    <n v="2"/>
    <n v="18051"/>
    <x v="0"/>
  </r>
  <r>
    <n v="18"/>
    <x v="2"/>
    <x v="1"/>
    <n v="324"/>
    <n v="80"/>
    <n v="280"/>
    <n v="93.991999980062246"/>
    <s v=""/>
    <n v="2378"/>
    <n v="15"/>
    <n v="1"/>
    <n v="18052"/>
    <x v="0"/>
  </r>
  <r>
    <n v="18"/>
    <x v="2"/>
    <x v="2"/>
    <n v="424"/>
    <n v="110"/>
    <n v="316"/>
    <n v="1028.2934999850113"/>
    <s v=""/>
    <n v="36304"/>
    <n v="183"/>
    <n v="20"/>
    <n v="18053"/>
    <x v="0"/>
  </r>
  <r>
    <n v="18"/>
    <x v="2"/>
    <x v="3"/>
    <n v="504"/>
    <n v="121"/>
    <n v="556"/>
    <n v="35363.384700001916"/>
    <s v=""/>
    <n v="3452120"/>
    <n v="2257"/>
    <n v="157"/>
    <n v="18055"/>
    <x v="0"/>
  </r>
  <r>
    <n v="18"/>
    <x v="3"/>
    <x v="0"/>
    <n v="392"/>
    <n v="93"/>
    <n v="289"/>
    <n v="1546.1228000058327"/>
    <s v=""/>
    <n v="32391"/>
    <n v="152"/>
    <n v="36"/>
    <n v="18061"/>
    <x v="0"/>
  </r>
  <r>
    <n v="18"/>
    <x v="3"/>
    <x v="1"/>
    <n v="383"/>
    <n v="79"/>
    <n v="247"/>
    <n v="370.67090001073666"/>
    <s v=""/>
    <n v="8897"/>
    <n v="66"/>
    <n v="9"/>
    <n v="18062"/>
    <x v="0"/>
  </r>
  <r>
    <n v="18"/>
    <x v="3"/>
    <x v="2"/>
    <n v="435"/>
    <n v="82"/>
    <n v="268"/>
    <n v="247.79620001208968"/>
    <s v=""/>
    <n v="8059"/>
    <n v="51"/>
    <n v="4"/>
    <n v="18063"/>
    <x v="0"/>
  </r>
  <r>
    <n v="18"/>
    <x v="3"/>
    <x v="3"/>
    <n v="569"/>
    <n v="111"/>
    <n v="460"/>
    <n v="38838.905799988424"/>
    <s v=""/>
    <n v="4259552"/>
    <n v="2463"/>
    <n v="132"/>
    <n v="18065"/>
    <x v="0"/>
  </r>
  <r>
    <n v="18"/>
    <x v="4"/>
    <x v="0"/>
    <n v="464"/>
    <n v="72"/>
    <n v="226"/>
    <n v="245.45239997678436"/>
    <s v=""/>
    <n v="5817"/>
    <n v="32"/>
    <n v="5"/>
    <n v="18081"/>
    <x v="0"/>
  </r>
  <r>
    <n v="18"/>
    <x v="4"/>
    <x v="1"/>
    <n v="559"/>
    <n v="83"/>
    <n v="259"/>
    <n v="4839.3588000035379"/>
    <s v=""/>
    <n v="142029"/>
    <n v="762"/>
    <n v="124"/>
    <n v="18082"/>
    <x v="0"/>
  </r>
  <r>
    <n v="18"/>
    <x v="4"/>
    <x v="2"/>
    <m/>
    <m/>
    <n v="352"/>
    <m/>
    <s v="solver exceeded time limit"/>
    <m/>
    <m/>
    <m/>
    <n v="18083"/>
    <x v="1"/>
  </r>
  <r>
    <n v="18"/>
    <x v="4"/>
    <x v="3"/>
    <n v="696"/>
    <n v="104"/>
    <n v="454"/>
    <n v="95618.398599995999"/>
    <s v=""/>
    <n v="12699048"/>
    <n v="1832"/>
    <n v="100"/>
    <n v="18085"/>
    <x v="0"/>
  </r>
  <r>
    <n v="19"/>
    <x v="0"/>
    <x v="0"/>
    <n v="76"/>
    <n v="47"/>
    <n v="151"/>
    <n v="29.126500012353063"/>
    <s v=""/>
    <n v="335"/>
    <n v="4"/>
    <n v="1"/>
    <n v="19021"/>
    <x v="0"/>
  </r>
  <r>
    <n v="19"/>
    <x v="0"/>
    <x v="1"/>
    <n v="114"/>
    <n v="68"/>
    <n v="286"/>
    <n v="49.084700003731996"/>
    <s v=""/>
    <n v="785"/>
    <n v="6"/>
    <n v="1"/>
    <n v="19022"/>
    <x v="0"/>
  </r>
  <r>
    <n v="19"/>
    <x v="0"/>
    <x v="2"/>
    <n v="144"/>
    <n v="82"/>
    <n v="322"/>
    <n v="65.54759998107329"/>
    <s v=""/>
    <n v="1533"/>
    <n v="9"/>
    <n v="1"/>
    <n v="19023"/>
    <x v="0"/>
  </r>
  <r>
    <n v="19"/>
    <x v="0"/>
    <x v="3"/>
    <n v="217"/>
    <n v="111"/>
    <n v="451"/>
    <n v="85.697300004540011"/>
    <s v=""/>
    <n v="3238"/>
    <n v="12"/>
    <n v="1"/>
    <n v="19025"/>
    <x v="0"/>
  </r>
  <r>
    <n v="19"/>
    <x v="1"/>
    <x v="0"/>
    <n v="212"/>
    <n v="71"/>
    <n v="223"/>
    <n v="255.48849999904633"/>
    <s v=""/>
    <n v="3629"/>
    <n v="28"/>
    <n v="6"/>
    <n v="19041"/>
    <x v="0"/>
  </r>
  <r>
    <n v="19"/>
    <x v="1"/>
    <x v="1"/>
    <n v="272"/>
    <n v="100"/>
    <n v="310"/>
    <n v="240.79849998815916"/>
    <s v=""/>
    <n v="4906"/>
    <n v="30"/>
    <n v="4"/>
    <n v="19042"/>
    <x v="0"/>
  </r>
  <r>
    <n v="19"/>
    <x v="1"/>
    <x v="2"/>
    <n v="359"/>
    <n v="102"/>
    <n v="400"/>
    <n v="1206.4796000195201"/>
    <s v=""/>
    <n v="29813"/>
    <n v="140"/>
    <n v="15"/>
    <n v="19043"/>
    <x v="0"/>
  </r>
  <r>
    <n v="19"/>
    <x v="1"/>
    <x v="3"/>
    <n v="310"/>
    <n v="86"/>
    <n v="364"/>
    <n v="221.46930001326837"/>
    <s v=""/>
    <n v="6405"/>
    <n v="42"/>
    <n v="2"/>
    <n v="19045"/>
    <x v="0"/>
  </r>
  <r>
    <n v="19"/>
    <x v="2"/>
    <x v="0"/>
    <n v="379"/>
    <n v="91"/>
    <n v="283"/>
    <n v="524.0615000075195"/>
    <s v=""/>
    <n v="11520"/>
    <n v="46"/>
    <n v="10"/>
    <n v="19051"/>
    <x v="0"/>
  </r>
  <r>
    <n v="19"/>
    <x v="2"/>
    <x v="1"/>
    <n v="384"/>
    <n v="116"/>
    <n v="286"/>
    <n v="446.8883000081405"/>
    <s v=""/>
    <n v="9747"/>
    <n v="63"/>
    <n v="9"/>
    <n v="19052"/>
    <x v="0"/>
  </r>
  <r>
    <n v="19"/>
    <x v="2"/>
    <x v="2"/>
    <n v="421"/>
    <n v="107"/>
    <n v="388"/>
    <n v="208.39290000731125"/>
    <s v=""/>
    <n v="6647"/>
    <n v="32"/>
    <n v="2"/>
    <n v="19053"/>
    <x v="0"/>
  </r>
  <r>
    <n v="19"/>
    <x v="2"/>
    <x v="3"/>
    <n v="489"/>
    <n v="116"/>
    <n v="445"/>
    <n v="1658.320399990771"/>
    <s v=""/>
    <n v="83171"/>
    <n v="434"/>
    <n v="20"/>
    <n v="19055"/>
    <x v="0"/>
  </r>
  <r>
    <n v="19"/>
    <x v="3"/>
    <x v="0"/>
    <n v="343"/>
    <n v="74"/>
    <n v="232"/>
    <n v="457.56349997827783"/>
    <s v=""/>
    <n v="11641"/>
    <n v="56"/>
    <n v="12"/>
    <n v="19061"/>
    <x v="0"/>
  </r>
  <r>
    <n v="19"/>
    <x v="3"/>
    <x v="1"/>
    <n v="442"/>
    <n v="96"/>
    <n v="295"/>
    <n v="743.4134999930393"/>
    <s v=""/>
    <n v="13773"/>
    <n v="92"/>
    <n v="13"/>
    <n v="19062"/>
    <x v="0"/>
  </r>
  <r>
    <n v="19"/>
    <x v="3"/>
    <x v="2"/>
    <n v="464"/>
    <n v="91"/>
    <n v="343"/>
    <n v="2920.6972999963909"/>
    <s v=""/>
    <n v="99458"/>
    <n v="495"/>
    <n v="54"/>
    <n v="19063"/>
    <x v="0"/>
  </r>
  <r>
    <n v="19"/>
    <x v="3"/>
    <x v="3"/>
    <n v="568"/>
    <n v="127"/>
    <n v="505"/>
    <n v="27229.633699986152"/>
    <s v=""/>
    <n v="2827622"/>
    <n v="1945"/>
    <n v="118"/>
    <n v="19065"/>
    <x v="0"/>
  </r>
  <r>
    <n v="19"/>
    <x v="4"/>
    <x v="0"/>
    <n v="456"/>
    <n v="84"/>
    <n v="262"/>
    <n v="497.87729998934083"/>
    <s v=""/>
    <n v="7321"/>
    <n v="52"/>
    <n v="10"/>
    <n v="19081"/>
    <x v="0"/>
  </r>
  <r>
    <n v="19"/>
    <x v="4"/>
    <x v="1"/>
    <n v="566"/>
    <n v="95"/>
    <n v="289"/>
    <n v="2185.4691000189632"/>
    <s v=""/>
    <n v="51619"/>
    <n v="308"/>
    <n v="47"/>
    <n v="19082"/>
    <x v="0"/>
  </r>
  <r>
    <n v="19"/>
    <x v="4"/>
    <x v="2"/>
    <n v="682"/>
    <n v="94"/>
    <n v="394"/>
    <n v="1455.3808000055142"/>
    <s v=""/>
    <n v="40994"/>
    <n v="235"/>
    <n v="22"/>
    <n v="19083"/>
    <x v="0"/>
  </r>
  <r>
    <n v="19"/>
    <x v="4"/>
    <x v="3"/>
    <m/>
    <m/>
    <n v="475"/>
    <m/>
    <s v="solver exceeded time limit"/>
    <m/>
    <m/>
    <m/>
    <n v="19085"/>
    <x v="1"/>
  </r>
  <r>
    <n v="20"/>
    <x v="0"/>
    <x v="0"/>
    <n v="92"/>
    <n v="58"/>
    <n v="184"/>
    <n v="23.899099993286654"/>
    <s v=""/>
    <n v="441"/>
    <n v="4"/>
    <n v="1"/>
    <n v="20021"/>
    <x v="0"/>
  </r>
  <r>
    <n v="20"/>
    <x v="0"/>
    <x v="1"/>
    <n v="103"/>
    <n v="54"/>
    <n v="172"/>
    <n v="22.324199991999194"/>
    <s v=""/>
    <n v="472"/>
    <n v="6"/>
    <n v="1"/>
    <n v="20022"/>
    <x v="0"/>
  </r>
  <r>
    <n v="20"/>
    <x v="0"/>
    <x v="2"/>
    <n v="173"/>
    <n v="100"/>
    <n v="334"/>
    <n v="46.68690002290532"/>
    <s v=""/>
    <n v="1379"/>
    <n v="10"/>
    <n v="1"/>
    <n v="20023"/>
    <x v="0"/>
  </r>
  <r>
    <n v="20"/>
    <x v="0"/>
    <x v="3"/>
    <n v="205"/>
    <n v="105"/>
    <n v="505"/>
    <n v="78.497900016373023"/>
    <s v=""/>
    <n v="3162"/>
    <n v="14"/>
    <n v="1"/>
    <n v="20025"/>
    <x v="0"/>
  </r>
  <r>
    <n v="20"/>
    <x v="1"/>
    <x v="0"/>
    <n v="223"/>
    <n v="76"/>
    <n v="238"/>
    <n v="241.01729999529198"/>
    <s v=""/>
    <n v="4478"/>
    <n v="32"/>
    <n v="7"/>
    <n v="20041"/>
    <x v="0"/>
  </r>
  <r>
    <n v="20"/>
    <x v="1"/>
    <x v="1"/>
    <n v="278"/>
    <n v="83"/>
    <n v="253"/>
    <n v="1274.8315999924671"/>
    <s v=""/>
    <n v="29769"/>
    <n v="180"/>
    <n v="29"/>
    <n v="20042"/>
    <x v="0"/>
  </r>
  <r>
    <n v="20"/>
    <x v="1"/>
    <x v="2"/>
    <n v="308"/>
    <n v="93"/>
    <n v="325"/>
    <n v="143.90049999929033"/>
    <s v=""/>
    <n v="3161"/>
    <n v="16"/>
    <n v="1"/>
    <n v="20043"/>
    <x v="0"/>
  </r>
  <r>
    <n v="20"/>
    <x v="1"/>
    <x v="3"/>
    <n v="411"/>
    <n v="113"/>
    <n v="427"/>
    <n v="900.98589999251999"/>
    <s v=""/>
    <n v="31526"/>
    <n v="201"/>
    <n v="9"/>
    <n v="20045"/>
    <x v="0"/>
  </r>
  <r>
    <n v="20"/>
    <x v="2"/>
    <x v="0"/>
    <n v="370"/>
    <n v="81"/>
    <n v="253"/>
    <n v="85.479000001214445"/>
    <s v=""/>
    <n v="2154"/>
    <n v="10"/>
    <n v="1"/>
    <n v="20051"/>
    <x v="0"/>
  </r>
  <r>
    <n v="20"/>
    <x v="2"/>
    <x v="1"/>
    <n v="243"/>
    <n v="61"/>
    <n v="187"/>
    <n v="89.653100003488362"/>
    <s v=""/>
    <n v="2448"/>
    <n v="23"/>
    <n v="2"/>
    <n v="20052"/>
    <x v="0"/>
  </r>
  <r>
    <n v="20"/>
    <x v="2"/>
    <x v="2"/>
    <n v="404"/>
    <n v="102"/>
    <n v="379"/>
    <n v="1660.1875000051223"/>
    <s v=""/>
    <n v="45708"/>
    <n v="236"/>
    <n v="24"/>
    <n v="20053"/>
    <x v="0"/>
  </r>
  <r>
    <n v="20"/>
    <x v="2"/>
    <x v="3"/>
    <m/>
    <m/>
    <n v="562"/>
    <m/>
    <s v="solver exceeded time limit"/>
    <m/>
    <m/>
    <m/>
    <n v="20055"/>
    <x v="1"/>
  </r>
  <r>
    <n v="20"/>
    <x v="3"/>
    <x v="0"/>
    <n v="375"/>
    <n v="82"/>
    <n v="256"/>
    <n v="202.2720999957528"/>
    <s v=""/>
    <n v="4492"/>
    <n v="24"/>
    <n v="4"/>
    <n v="20061"/>
    <x v="0"/>
  </r>
  <r>
    <n v="20"/>
    <x v="3"/>
    <x v="1"/>
    <m/>
    <m/>
    <n v="241"/>
    <m/>
    <s v="solver exceeded time limit"/>
    <n v="14596984"/>
    <n v="4198"/>
    <n v="683"/>
    <n v="20062"/>
    <x v="1"/>
  </r>
  <r>
    <n v="20"/>
    <x v="3"/>
    <x v="2"/>
    <m/>
    <m/>
    <n v="340"/>
    <m/>
    <s v="solver exceeded time limit"/>
    <m/>
    <m/>
    <m/>
    <n v="20063"/>
    <x v="1"/>
  </r>
  <r>
    <n v="20"/>
    <x v="3"/>
    <x v="3"/>
    <n v="581"/>
    <n v="118"/>
    <n v="466"/>
    <n v="3932.6989999972284"/>
    <s v=""/>
    <n v="153533"/>
    <n v="797"/>
    <n v="51"/>
    <n v="20065"/>
    <x v="0"/>
  </r>
  <r>
    <n v="20"/>
    <x v="4"/>
    <x v="0"/>
    <n v="534"/>
    <n v="93"/>
    <n v="289"/>
    <n v="629.20699999085627"/>
    <s v=""/>
    <n v="14633"/>
    <n v="64"/>
    <n v="13"/>
    <n v="20081"/>
    <x v="0"/>
  </r>
  <r>
    <n v="20"/>
    <x v="4"/>
    <x v="1"/>
    <n v="544"/>
    <n v="105"/>
    <n v="307"/>
    <n v="18906.679500010796"/>
    <s v=""/>
    <n v="478050"/>
    <n v="2595"/>
    <n v="424"/>
    <n v="20082"/>
    <x v="0"/>
  </r>
  <r>
    <n v="20"/>
    <x v="4"/>
    <x v="2"/>
    <n v="639"/>
    <n v="91"/>
    <n v="283"/>
    <n v="9462.9278999927919"/>
    <s v=""/>
    <n v="1081955"/>
    <n v="612"/>
    <n v="61"/>
    <n v="20083"/>
    <x v="0"/>
  </r>
  <r>
    <n v="20"/>
    <x v="4"/>
    <x v="3"/>
    <m/>
    <m/>
    <n v="499"/>
    <m/>
    <s v="solver exceeded time limit"/>
    <m/>
    <m/>
    <m/>
    <n v="2008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F9C97-1DFC-463B-9629-6754B15FD1E6}" name="PivotTable24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 rowPageCount="1" colPageCount="1"/>
  <pivotFields count="13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2" item="1" hier="-1"/>
  </pageFields>
  <dataFields count="1">
    <dataField name="Count of 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61515-1A63-4843-8DD1-FE39F4E018D5}" name="PivotTable25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F23" firstHeaderRow="1" firstDataRow="2" firstDataCol="1" rowPageCount="1" colPageCount="1"/>
  <pivotFields count="13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2" item="0" hier="-1"/>
  </pageFields>
  <dataFields count="1">
    <dataField name="Count of 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41829-4792-4200-8B4A-7728B558CDBD}" name="PivotTable15" cacheId="8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oc" fld="2" subtotal="average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55048-E48E-44D2-85D2-0B18ECEC23EB}" name="PivotTable18" cacheId="8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S3:X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tdDev of soc" fld="2" subtotal="stdDev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dDev of soc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78533-30ED-42DC-A91A-66D751D9EEFC}" name="PivotTable2" cacheId="8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8:F3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82A7C-7A44-4615-94A2-E064E07A28A7}" name="PivotTable17" cacheId="8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soc" fld="2" subtotal="min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 caption="Min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2A019-AD43-47A5-844A-5202D908E572}" name="PivotTable16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soc" fld="2" subtotal="max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 caption="Max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18B92-E25A-4E6F-969A-6286C66FE4C3}" name="PivotTable19" cacheId="8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makespan" fld="2" subtotal="max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 caption="Max of makespa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3C7D7-34F2-4E9F-8C64-E6D328D308A5}" name="PivotTable18" cacheId="8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makespan" fld="2" subtotal="average" baseField="0" baseItem="0" numFmtId="164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 caption="Average of makespa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8C0FE-8F60-4B83-AC6B-964FD994EF35}" name="PivotTable1" cacheId="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8:F3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 caption="Average of makespa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2640C-1B16-475B-8CCC-227AC37139E1}" name="PivotTable20" cacheId="8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makespan" fld="2" subtotal="min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 caption="Min of makespa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7FDE7-6AFE-4AE8-B0C0-03A525244664}" name="PivotTable4" cacheId="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elapsed_ms" fld="2" subtotal="max" baseField="0" baseItem="0" numFmtId="164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elapsed_m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AF054-B8B9-4E3C-B2A1-647FE11FBB0A}" name="PivotTable3" cacheId="8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8F4FD-1153-4C80-8A64-051C74B0681A}" name="PivotTable5" cacheId="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elapsed_ms" fld="2" subtotal="min" baseField="0" baseItem="0" numFmtId="164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elapsed_m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296FE-DFC6-4E56-B1AE-77CFAB24F166}" name="PivotTable7" cacheId="8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astar_states" fld="2" subtotal="max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astar_sta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1DDB2-6C4A-4251-9310-BFF3339CE9B1}" name="PivotTable6" cacheId="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E751E-95D2-4919-97AF-2E69A255C2AD}" name="PivotTable8" cacheId="8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astar_states" fld="2" subtotal="min" baseField="0" baseItem="0" numFmtId="1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astar_sta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25D5D-E39E-4B22-8A01-8D3B18AE03BF}" name="PivotTable11" cacheId="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lowlevel_states" fld="2" subtotal="max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elapsed_ms"/>
    <pivotHierarchy dragToData="1"/>
    <pivotHierarchy dragToData="1"/>
    <pivotHierarchy dragToData="1"/>
    <pivotHierarchy dragToData="1"/>
    <pivotHierarchy dragToData="1" caption="Max of lowlevel_stat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D866B-6975-4170-A14F-97C046FB6685}" name="PivotTable9" cacheId="7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A0D7B-3C0F-4788-8115-69B537B72AF1}" name="PivotTable12" cacheId="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lowlevel_states" fld="2" subtotal="min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elapsed_ms"/>
    <pivotHierarchy dragToData="1"/>
    <pivotHierarchy dragToData="1"/>
    <pivotHierarchy dragToData="1"/>
    <pivotHierarchy dragToData="1"/>
    <pivotHierarchy dragToData="1"/>
    <pivotHierarchy dragToData="1" caption="Min of lowlevel_state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D773F-E7ED-47BA-A90D-0C86775BFEE8}" name="PivotTable13" cacheId="7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O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cbs_nodes" fld="2" subtotal="max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elapsed_m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cbs_nod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6E165-1865-428B-BB93-C46CBCEA569D}" name="PivotTable10" cacheId="7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76BB7-FBE2-4B1B-A6DF-DA679B5C8CE9}" name="PivotTable14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4:O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in of cbs_nodes" fld="2" subtotal="min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elapsed_m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cbs_nod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essed data.xlsx!mgcbs_results_summary">
        <x15:activeTabTopLevelEntity name="[mgcbs_result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894051-B490-42FC-BB4D-D361D8A37ED7}" autoFormatId="16" applyNumberFormats="0" applyBorderFormats="0" applyFontFormats="0" applyPatternFormats="0" applyAlignmentFormats="0" applyWidthHeightFormats="0">
  <queryTableRefresh nextId="14">
    <queryTableFields count="13">
      <queryTableField id="1" name="iteration" tableColumnId="1"/>
      <queryTableField id="2" name="num_agents" tableColumnId="2"/>
      <queryTableField id="3" name="tasks_per_agent" tableColumnId="3"/>
      <queryTableField id="4" name="soc" tableColumnId="4"/>
      <queryTableField id="5" name="makespan" tableColumnId="5"/>
      <queryTableField id="6" name="horizon" tableColumnId="6"/>
      <queryTableField id="7" name="elapsed_ms" tableColumnId="7"/>
      <queryTableField id="8" name="notes" tableColumnId="8"/>
      <queryTableField id="9" name="astar_states" tableColumnId="9"/>
      <queryTableField id="10" name="lowlevel_states" tableColumnId="10"/>
      <queryTableField id="11" name="cbs_nodes" tableColumnId="11"/>
      <queryTableField id="12" name="seed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D4E3-6906-4DD1-A0CB-C12A13E2C7F3}" name="mgcbs_results_summary" displayName="mgcbs_results_summary" ref="A1:M401" tableType="queryTable" totalsRowShown="0">
  <autoFilter ref="A1:M401" xr:uid="{FC0AD4E3-6906-4DD1-A0CB-C12A13E2C7F3}"/>
  <tableColumns count="13">
    <tableColumn id="1" xr3:uid="{DBDABB6C-3DAA-411E-8CEC-2B14F03F7684}" uniqueName="1" name="iteration" queryTableFieldId="1"/>
    <tableColumn id="2" xr3:uid="{49162816-91AF-49EB-9173-4A3C53045A1F}" uniqueName="2" name="num_agents" queryTableFieldId="2"/>
    <tableColumn id="3" xr3:uid="{BFE8B829-9AC0-4A27-A48C-1693749031B9}" uniqueName="3" name="tasks_per_agent" queryTableFieldId="3"/>
    <tableColumn id="4" xr3:uid="{E47F7143-D8FA-466F-925B-A97175E444E0}" uniqueName="4" name="soc" queryTableFieldId="4"/>
    <tableColumn id="5" xr3:uid="{A5211267-2557-4987-B45A-7C95EB95ABD3}" uniqueName="5" name="makespan" queryTableFieldId="5"/>
    <tableColumn id="6" xr3:uid="{BD90A4AB-C021-4E8B-89EE-F3060C58AE9A}" uniqueName="6" name="horizon" queryTableFieldId="6"/>
    <tableColumn id="7" xr3:uid="{9A966379-BDC7-4D5F-AD3F-34CC301E784B}" uniqueName="7" name="elapsed_ms" queryTableFieldId="7"/>
    <tableColumn id="8" xr3:uid="{DF71AE9B-692A-4EF1-A122-1995F3750096}" uniqueName="8" name="notes" queryTableFieldId="8" dataDxfId="1"/>
    <tableColumn id="9" xr3:uid="{8B4D278D-EC79-4909-AA84-EE6C8F3D86D6}" uniqueName="9" name="astar_states" queryTableFieldId="9"/>
    <tableColumn id="10" xr3:uid="{41FB5546-CD6E-41D6-A561-832411F22083}" uniqueName="10" name="lowlevel_states" queryTableFieldId="10"/>
    <tableColumn id="11" xr3:uid="{D603D7A8-5F5A-4E5E-8DB2-0B110A6398EE}" uniqueName="11" name="cbs_nodes" queryTableFieldId="11"/>
    <tableColumn id="12" xr3:uid="{30E201FE-F3E6-4D7A-BF86-9C3251FDABFD}" uniqueName="12" name="seed" queryTableFieldId="12"/>
    <tableColumn id="13" xr3:uid="{23AD1CEC-4469-4F8F-AF5C-4A89A6783B40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2E1E-6C78-48A7-B550-F385197D2D0B}">
  <dimension ref="A1:M401"/>
  <sheetViews>
    <sheetView tabSelected="1" topLeftCell="A370" workbookViewId="0">
      <selection activeCell="O400" sqref="O400"/>
    </sheetView>
  </sheetViews>
  <sheetFormatPr defaultRowHeight="15" x14ac:dyDescent="0.25"/>
  <cols>
    <col min="1" max="1" width="11" bestFit="1" customWidth="1"/>
    <col min="2" max="2" width="14.140625" bestFit="1" customWidth="1"/>
    <col min="3" max="3" width="17.85546875" bestFit="1" customWidth="1"/>
    <col min="4" max="4" width="6.140625" bestFit="1" customWidth="1"/>
    <col min="5" max="5" width="12.28515625" bestFit="1" customWidth="1"/>
    <col min="6" max="6" width="10" bestFit="1" customWidth="1"/>
    <col min="7" max="7" width="13.85546875" bestFit="1" customWidth="1"/>
    <col min="8" max="8" width="25.140625" bestFit="1" customWidth="1"/>
    <col min="9" max="9" width="13.85546875" bestFit="1" customWidth="1"/>
    <col min="10" max="10" width="17.42578125" bestFit="1" customWidth="1"/>
    <col min="11" max="11" width="12.5703125" bestFit="1" customWidth="1"/>
    <col min="12" max="12" width="7.5703125" bestFit="1" customWidth="1"/>
    <col min="13" max="13" width="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</v>
      </c>
      <c r="C2">
        <v>1</v>
      </c>
      <c r="D2">
        <v>131</v>
      </c>
      <c r="E2">
        <v>70</v>
      </c>
      <c r="F2">
        <v>220</v>
      </c>
      <c r="G2">
        <v>94.073299987940118</v>
      </c>
      <c r="H2" t="s">
        <v>13</v>
      </c>
      <c r="I2">
        <v>2657</v>
      </c>
      <c r="J2">
        <v>12</v>
      </c>
      <c r="K2">
        <v>3</v>
      </c>
      <c r="L2">
        <v>1021</v>
      </c>
      <c r="M2" t="s">
        <v>14</v>
      </c>
    </row>
    <row r="3" spans="1:13" x14ac:dyDescent="0.25">
      <c r="A3">
        <v>1</v>
      </c>
      <c r="B3">
        <v>2</v>
      </c>
      <c r="C3">
        <v>2</v>
      </c>
      <c r="D3">
        <v>133</v>
      </c>
      <c r="E3">
        <v>68</v>
      </c>
      <c r="F3">
        <v>208</v>
      </c>
      <c r="G3">
        <v>31.774500006577</v>
      </c>
      <c r="H3" t="s">
        <v>13</v>
      </c>
      <c r="I3">
        <v>966</v>
      </c>
      <c r="J3">
        <v>6</v>
      </c>
      <c r="K3">
        <v>1</v>
      </c>
      <c r="L3">
        <v>1022</v>
      </c>
      <c r="M3" t="s">
        <v>14</v>
      </c>
    </row>
    <row r="4" spans="1:13" x14ac:dyDescent="0.25">
      <c r="A4">
        <v>1</v>
      </c>
      <c r="B4">
        <v>2</v>
      </c>
      <c r="C4">
        <v>3</v>
      </c>
      <c r="D4">
        <v>203</v>
      </c>
      <c r="E4">
        <v>122</v>
      </c>
      <c r="F4">
        <v>385</v>
      </c>
      <c r="G4">
        <v>60.655099980067462</v>
      </c>
      <c r="H4" t="s">
        <v>13</v>
      </c>
      <c r="I4">
        <v>2152</v>
      </c>
      <c r="J4">
        <v>10</v>
      </c>
      <c r="K4">
        <v>1</v>
      </c>
      <c r="L4">
        <v>1023</v>
      </c>
      <c r="M4" t="s">
        <v>14</v>
      </c>
    </row>
    <row r="5" spans="1:13" x14ac:dyDescent="0.25">
      <c r="A5">
        <v>1</v>
      </c>
      <c r="B5">
        <v>2</v>
      </c>
      <c r="C5">
        <v>5</v>
      </c>
      <c r="D5">
        <v>210</v>
      </c>
      <c r="E5">
        <v>107</v>
      </c>
      <c r="F5">
        <v>397</v>
      </c>
      <c r="G5">
        <v>207.0522999856621</v>
      </c>
      <c r="H5" t="s">
        <v>13</v>
      </c>
      <c r="I5">
        <v>9279</v>
      </c>
      <c r="J5">
        <v>58</v>
      </c>
      <c r="K5">
        <v>3</v>
      </c>
      <c r="L5">
        <v>1025</v>
      </c>
      <c r="M5" t="s">
        <v>14</v>
      </c>
    </row>
    <row r="6" spans="1:13" x14ac:dyDescent="0.25">
      <c r="A6">
        <v>1</v>
      </c>
      <c r="B6">
        <v>4</v>
      </c>
      <c r="C6">
        <v>1</v>
      </c>
      <c r="D6">
        <v>190</v>
      </c>
      <c r="E6">
        <v>62</v>
      </c>
      <c r="F6">
        <v>196</v>
      </c>
      <c r="G6">
        <v>87.01770001789555</v>
      </c>
      <c r="H6" t="s">
        <v>13</v>
      </c>
      <c r="I6">
        <v>1968</v>
      </c>
      <c r="J6">
        <v>12</v>
      </c>
      <c r="K6">
        <v>2</v>
      </c>
      <c r="L6">
        <v>1041</v>
      </c>
      <c r="M6" t="s">
        <v>14</v>
      </c>
    </row>
    <row r="7" spans="1:13" x14ac:dyDescent="0.25">
      <c r="A7">
        <v>1</v>
      </c>
      <c r="B7">
        <v>4</v>
      </c>
      <c r="C7">
        <v>2</v>
      </c>
      <c r="D7">
        <v>257</v>
      </c>
      <c r="E7">
        <v>76</v>
      </c>
      <c r="F7">
        <v>304</v>
      </c>
      <c r="G7">
        <v>209.67169999494217</v>
      </c>
      <c r="H7" t="s">
        <v>13</v>
      </c>
      <c r="I7">
        <v>5644</v>
      </c>
      <c r="J7">
        <v>30</v>
      </c>
      <c r="K7">
        <v>4</v>
      </c>
      <c r="L7">
        <v>1042</v>
      </c>
      <c r="M7" t="s">
        <v>14</v>
      </c>
    </row>
    <row r="8" spans="1:13" x14ac:dyDescent="0.25">
      <c r="A8">
        <v>1</v>
      </c>
      <c r="B8">
        <v>4</v>
      </c>
      <c r="C8">
        <v>3</v>
      </c>
      <c r="D8">
        <v>346</v>
      </c>
      <c r="E8">
        <v>98</v>
      </c>
      <c r="F8">
        <v>376</v>
      </c>
      <c r="G8">
        <v>107.53229999681935</v>
      </c>
      <c r="H8" t="s">
        <v>13</v>
      </c>
      <c r="I8">
        <v>3114</v>
      </c>
      <c r="J8">
        <v>17</v>
      </c>
      <c r="K8">
        <v>1</v>
      </c>
      <c r="L8">
        <v>1043</v>
      </c>
      <c r="M8" t="s">
        <v>14</v>
      </c>
    </row>
    <row r="9" spans="1:13" x14ac:dyDescent="0.25">
      <c r="A9">
        <v>1</v>
      </c>
      <c r="B9">
        <v>4</v>
      </c>
      <c r="C9">
        <v>5</v>
      </c>
      <c r="D9">
        <v>386</v>
      </c>
      <c r="E9">
        <v>112</v>
      </c>
      <c r="F9">
        <v>502</v>
      </c>
      <c r="G9">
        <v>2236.8868000048678</v>
      </c>
      <c r="H9" t="s">
        <v>13</v>
      </c>
      <c r="I9">
        <v>74580</v>
      </c>
      <c r="J9">
        <v>389</v>
      </c>
      <c r="K9">
        <v>26</v>
      </c>
      <c r="L9">
        <v>1045</v>
      </c>
      <c r="M9" t="s">
        <v>14</v>
      </c>
    </row>
    <row r="10" spans="1:13" x14ac:dyDescent="0.25">
      <c r="A10">
        <v>1</v>
      </c>
      <c r="B10">
        <v>5</v>
      </c>
      <c r="C10">
        <v>1</v>
      </c>
      <c r="D10">
        <v>347</v>
      </c>
      <c r="E10">
        <v>85</v>
      </c>
      <c r="F10">
        <v>265</v>
      </c>
      <c r="G10">
        <v>240.55580000276677</v>
      </c>
      <c r="H10" t="s">
        <v>13</v>
      </c>
      <c r="I10">
        <v>5773</v>
      </c>
      <c r="J10">
        <v>26</v>
      </c>
      <c r="K10">
        <v>5</v>
      </c>
      <c r="L10">
        <v>1051</v>
      </c>
      <c r="M10" t="s">
        <v>14</v>
      </c>
    </row>
    <row r="11" spans="1:13" x14ac:dyDescent="0.25">
      <c r="A11">
        <v>1</v>
      </c>
      <c r="B11">
        <v>5</v>
      </c>
      <c r="C11">
        <v>2</v>
      </c>
      <c r="D11">
        <v>329</v>
      </c>
      <c r="E11">
        <v>90</v>
      </c>
      <c r="F11">
        <v>274</v>
      </c>
      <c r="G11">
        <v>2146.1033999803476</v>
      </c>
      <c r="H11" t="s">
        <v>13</v>
      </c>
      <c r="I11">
        <v>60800</v>
      </c>
      <c r="J11">
        <v>338</v>
      </c>
      <c r="K11">
        <v>53</v>
      </c>
      <c r="L11">
        <v>1052</v>
      </c>
      <c r="M11" t="s">
        <v>14</v>
      </c>
    </row>
    <row r="12" spans="1:13" x14ac:dyDescent="0.25">
      <c r="A12">
        <v>1</v>
      </c>
      <c r="B12">
        <v>5</v>
      </c>
      <c r="C12">
        <v>3</v>
      </c>
      <c r="D12">
        <v>393</v>
      </c>
      <c r="E12">
        <v>91</v>
      </c>
      <c r="F12">
        <v>355</v>
      </c>
      <c r="G12">
        <v>413.83489998406731</v>
      </c>
      <c r="H12" t="s">
        <v>13</v>
      </c>
      <c r="I12">
        <v>10806</v>
      </c>
      <c r="J12">
        <v>73</v>
      </c>
      <c r="K12">
        <v>6</v>
      </c>
      <c r="L12">
        <v>1053</v>
      </c>
      <c r="M12" t="s">
        <v>14</v>
      </c>
    </row>
    <row r="13" spans="1:13" x14ac:dyDescent="0.25">
      <c r="A13">
        <v>1</v>
      </c>
      <c r="B13">
        <v>5</v>
      </c>
      <c r="C13">
        <v>5</v>
      </c>
      <c r="D13">
        <v>499</v>
      </c>
      <c r="E13">
        <v>118</v>
      </c>
      <c r="F13">
        <v>481</v>
      </c>
      <c r="G13">
        <v>2306.3735000032466</v>
      </c>
      <c r="H13" t="s">
        <v>13</v>
      </c>
      <c r="I13">
        <v>87107</v>
      </c>
      <c r="J13">
        <v>434</v>
      </c>
      <c r="K13">
        <v>29</v>
      </c>
      <c r="L13">
        <v>1055</v>
      </c>
      <c r="M13" t="s">
        <v>14</v>
      </c>
    </row>
    <row r="14" spans="1:13" x14ac:dyDescent="0.25">
      <c r="A14">
        <v>1</v>
      </c>
      <c r="B14">
        <v>6</v>
      </c>
      <c r="C14">
        <v>1</v>
      </c>
      <c r="D14">
        <v>399</v>
      </c>
      <c r="E14">
        <v>78</v>
      </c>
      <c r="F14">
        <v>244</v>
      </c>
      <c r="G14">
        <v>404.94969999417663</v>
      </c>
      <c r="H14" t="s">
        <v>13</v>
      </c>
      <c r="I14">
        <v>9147</v>
      </c>
      <c r="J14">
        <v>48</v>
      </c>
      <c r="K14">
        <v>10</v>
      </c>
      <c r="L14">
        <v>1061</v>
      </c>
      <c r="M14" t="s">
        <v>14</v>
      </c>
    </row>
    <row r="15" spans="1:13" x14ac:dyDescent="0.25">
      <c r="A15">
        <v>1</v>
      </c>
      <c r="B15">
        <v>6</v>
      </c>
      <c r="C15">
        <v>2</v>
      </c>
      <c r="D15">
        <v>358</v>
      </c>
      <c r="E15">
        <v>85</v>
      </c>
      <c r="F15">
        <v>247</v>
      </c>
      <c r="G15">
        <v>310.10519998380914</v>
      </c>
      <c r="H15" t="s">
        <v>13</v>
      </c>
      <c r="I15">
        <v>6214</v>
      </c>
      <c r="J15">
        <v>42</v>
      </c>
      <c r="K15">
        <v>5</v>
      </c>
      <c r="L15">
        <v>1062</v>
      </c>
      <c r="M15" t="s">
        <v>14</v>
      </c>
    </row>
    <row r="16" spans="1:13" x14ac:dyDescent="0.25">
      <c r="A16">
        <v>1</v>
      </c>
      <c r="B16">
        <v>6</v>
      </c>
      <c r="C16">
        <v>3</v>
      </c>
      <c r="D16">
        <v>515</v>
      </c>
      <c r="E16">
        <v>98</v>
      </c>
      <c r="F16">
        <v>346</v>
      </c>
      <c r="G16">
        <v>12318.477199994959</v>
      </c>
      <c r="H16" t="s">
        <v>13</v>
      </c>
      <c r="I16">
        <v>918446</v>
      </c>
      <c r="J16">
        <v>1212</v>
      </c>
      <c r="K16">
        <v>122</v>
      </c>
      <c r="L16">
        <v>1063</v>
      </c>
      <c r="M16" t="s">
        <v>14</v>
      </c>
    </row>
    <row r="17" spans="1:13" x14ac:dyDescent="0.25">
      <c r="A17">
        <v>1</v>
      </c>
      <c r="B17">
        <v>6</v>
      </c>
      <c r="C17">
        <v>5</v>
      </c>
      <c r="D17">
        <v>586</v>
      </c>
      <c r="E17">
        <v>106</v>
      </c>
      <c r="F17">
        <v>424</v>
      </c>
      <c r="G17">
        <v>3599.9237000069115</v>
      </c>
      <c r="H17" t="s">
        <v>13</v>
      </c>
      <c r="I17">
        <v>102274</v>
      </c>
      <c r="J17">
        <v>657</v>
      </c>
      <c r="K17">
        <v>44</v>
      </c>
      <c r="L17">
        <v>1065</v>
      </c>
      <c r="M17" t="s">
        <v>14</v>
      </c>
    </row>
    <row r="18" spans="1:13" x14ac:dyDescent="0.25">
      <c r="A18">
        <v>1</v>
      </c>
      <c r="B18">
        <v>8</v>
      </c>
      <c r="C18">
        <v>1</v>
      </c>
      <c r="D18">
        <v>432</v>
      </c>
      <c r="E18">
        <v>101</v>
      </c>
      <c r="F18">
        <v>313</v>
      </c>
      <c r="G18">
        <v>986.72580000129528</v>
      </c>
      <c r="H18" t="s">
        <v>13</v>
      </c>
      <c r="I18">
        <v>17188</v>
      </c>
      <c r="J18">
        <v>96</v>
      </c>
      <c r="K18">
        <v>21</v>
      </c>
      <c r="L18">
        <v>1081</v>
      </c>
      <c r="M18" t="s">
        <v>14</v>
      </c>
    </row>
    <row r="19" spans="1:13" x14ac:dyDescent="0.25">
      <c r="A19">
        <v>1</v>
      </c>
      <c r="B19">
        <v>8</v>
      </c>
      <c r="C19">
        <v>2</v>
      </c>
      <c r="D19">
        <v>639</v>
      </c>
      <c r="E19">
        <v>95</v>
      </c>
      <c r="F19">
        <v>295</v>
      </c>
      <c r="G19">
        <v>78997.865000012098</v>
      </c>
      <c r="H19" t="s">
        <v>13</v>
      </c>
      <c r="I19">
        <v>2462114</v>
      </c>
      <c r="J19">
        <v>10303</v>
      </c>
      <c r="K19">
        <v>1689</v>
      </c>
      <c r="L19">
        <v>1082</v>
      </c>
      <c r="M19" t="s">
        <v>14</v>
      </c>
    </row>
    <row r="20" spans="1:13" x14ac:dyDescent="0.25">
      <c r="A20">
        <v>1</v>
      </c>
      <c r="B20">
        <v>8</v>
      </c>
      <c r="C20">
        <v>3</v>
      </c>
      <c r="F20">
        <v>370</v>
      </c>
      <c r="H20" t="s">
        <v>15</v>
      </c>
      <c r="L20">
        <v>1083</v>
      </c>
      <c r="M20" t="s">
        <v>40</v>
      </c>
    </row>
    <row r="21" spans="1:13" x14ac:dyDescent="0.25">
      <c r="A21">
        <v>1</v>
      </c>
      <c r="B21">
        <v>8</v>
      </c>
      <c r="C21">
        <v>5</v>
      </c>
      <c r="F21">
        <v>484</v>
      </c>
      <c r="H21" t="s">
        <v>15</v>
      </c>
      <c r="L21">
        <v>1085</v>
      </c>
      <c r="M21" t="s">
        <v>40</v>
      </c>
    </row>
    <row r="22" spans="1:13" x14ac:dyDescent="0.25">
      <c r="A22">
        <v>2</v>
      </c>
      <c r="B22">
        <v>2</v>
      </c>
      <c r="C22">
        <v>1</v>
      </c>
      <c r="D22">
        <v>127</v>
      </c>
      <c r="E22">
        <v>76</v>
      </c>
      <c r="F22">
        <v>238</v>
      </c>
      <c r="G22">
        <v>33.986199996434152</v>
      </c>
      <c r="H22" t="s">
        <v>13</v>
      </c>
      <c r="I22">
        <v>635</v>
      </c>
      <c r="J22">
        <v>4</v>
      </c>
      <c r="K22">
        <v>1</v>
      </c>
      <c r="L22">
        <v>2021</v>
      </c>
      <c r="M22" t="s">
        <v>14</v>
      </c>
    </row>
    <row r="23" spans="1:13" x14ac:dyDescent="0.25">
      <c r="A23">
        <v>2</v>
      </c>
      <c r="B23">
        <v>2</v>
      </c>
      <c r="C23">
        <v>2</v>
      </c>
      <c r="D23">
        <v>139</v>
      </c>
      <c r="E23">
        <v>78</v>
      </c>
      <c r="F23">
        <v>244</v>
      </c>
      <c r="G23">
        <v>36.626200017053634</v>
      </c>
      <c r="H23" t="s">
        <v>13</v>
      </c>
      <c r="I23">
        <v>1106</v>
      </c>
      <c r="J23">
        <v>6</v>
      </c>
      <c r="K23">
        <v>1</v>
      </c>
      <c r="L23">
        <v>2022</v>
      </c>
      <c r="M23" t="s">
        <v>14</v>
      </c>
    </row>
    <row r="24" spans="1:13" x14ac:dyDescent="0.25">
      <c r="A24">
        <v>2</v>
      </c>
      <c r="B24">
        <v>2</v>
      </c>
      <c r="C24">
        <v>3</v>
      </c>
      <c r="D24">
        <v>140</v>
      </c>
      <c r="E24">
        <v>79</v>
      </c>
      <c r="F24">
        <v>259</v>
      </c>
      <c r="G24">
        <v>74.149299995042384</v>
      </c>
      <c r="H24" t="s">
        <v>13</v>
      </c>
      <c r="I24">
        <v>1999</v>
      </c>
      <c r="J24">
        <v>16</v>
      </c>
      <c r="K24">
        <v>2</v>
      </c>
      <c r="L24">
        <v>2023</v>
      </c>
      <c r="M24" t="s">
        <v>14</v>
      </c>
    </row>
    <row r="25" spans="1:13" x14ac:dyDescent="0.25">
      <c r="A25">
        <v>2</v>
      </c>
      <c r="B25">
        <v>2</v>
      </c>
      <c r="C25">
        <v>5</v>
      </c>
      <c r="D25">
        <v>182</v>
      </c>
      <c r="E25">
        <v>98</v>
      </c>
      <c r="F25">
        <v>418</v>
      </c>
      <c r="G25">
        <v>67.672200006200001</v>
      </c>
      <c r="H25" t="s">
        <v>13</v>
      </c>
      <c r="I25">
        <v>2581</v>
      </c>
      <c r="J25">
        <v>12</v>
      </c>
      <c r="K25">
        <v>1</v>
      </c>
      <c r="L25">
        <v>2025</v>
      </c>
      <c r="M25" t="s">
        <v>14</v>
      </c>
    </row>
    <row r="26" spans="1:13" x14ac:dyDescent="0.25">
      <c r="A26">
        <v>2</v>
      </c>
      <c r="B26">
        <v>4</v>
      </c>
      <c r="C26">
        <v>1</v>
      </c>
      <c r="D26">
        <v>270</v>
      </c>
      <c r="E26">
        <v>88</v>
      </c>
      <c r="F26">
        <v>274</v>
      </c>
      <c r="G26">
        <v>156.16479999152943</v>
      </c>
      <c r="H26" t="s">
        <v>13</v>
      </c>
      <c r="I26">
        <v>4161</v>
      </c>
      <c r="J26">
        <v>16</v>
      </c>
      <c r="K26">
        <v>3</v>
      </c>
      <c r="L26">
        <v>2041</v>
      </c>
      <c r="M26" t="s">
        <v>14</v>
      </c>
    </row>
    <row r="27" spans="1:13" x14ac:dyDescent="0.25">
      <c r="A27">
        <v>2</v>
      </c>
      <c r="B27">
        <v>4</v>
      </c>
      <c r="C27">
        <v>2</v>
      </c>
      <c r="D27">
        <v>304</v>
      </c>
      <c r="E27">
        <v>84</v>
      </c>
      <c r="F27">
        <v>262</v>
      </c>
      <c r="G27">
        <v>167.07280001719482</v>
      </c>
      <c r="H27" t="s">
        <v>13</v>
      </c>
      <c r="I27">
        <v>7092</v>
      </c>
      <c r="J27">
        <v>27</v>
      </c>
      <c r="K27">
        <v>3</v>
      </c>
      <c r="L27">
        <v>2042</v>
      </c>
      <c r="M27" t="s">
        <v>14</v>
      </c>
    </row>
    <row r="28" spans="1:13" x14ac:dyDescent="0.25">
      <c r="A28">
        <v>2</v>
      </c>
      <c r="B28">
        <v>4</v>
      </c>
      <c r="C28">
        <v>3</v>
      </c>
      <c r="D28">
        <v>352</v>
      </c>
      <c r="E28">
        <v>98</v>
      </c>
      <c r="F28">
        <v>346</v>
      </c>
      <c r="G28">
        <v>2242.1518999908585</v>
      </c>
      <c r="H28" t="s">
        <v>13</v>
      </c>
      <c r="I28">
        <v>299630</v>
      </c>
      <c r="J28">
        <v>40</v>
      </c>
      <c r="K28">
        <v>4</v>
      </c>
      <c r="L28">
        <v>2043</v>
      </c>
      <c r="M28" t="s">
        <v>14</v>
      </c>
    </row>
    <row r="29" spans="1:13" x14ac:dyDescent="0.25">
      <c r="A29">
        <v>2</v>
      </c>
      <c r="B29">
        <v>4</v>
      </c>
      <c r="C29">
        <v>5</v>
      </c>
      <c r="D29">
        <v>427</v>
      </c>
      <c r="E29">
        <v>118</v>
      </c>
      <c r="F29">
        <v>433</v>
      </c>
      <c r="G29">
        <v>299.45710001629777</v>
      </c>
      <c r="H29" t="s">
        <v>13</v>
      </c>
      <c r="I29">
        <v>12379</v>
      </c>
      <c r="J29">
        <v>61</v>
      </c>
      <c r="K29">
        <v>3</v>
      </c>
      <c r="L29">
        <v>2045</v>
      </c>
      <c r="M29" t="s">
        <v>14</v>
      </c>
    </row>
    <row r="30" spans="1:13" x14ac:dyDescent="0.25">
      <c r="A30">
        <v>2</v>
      </c>
      <c r="B30">
        <v>5</v>
      </c>
      <c r="C30">
        <v>1</v>
      </c>
      <c r="D30">
        <v>256</v>
      </c>
      <c r="E30">
        <v>77</v>
      </c>
      <c r="F30">
        <v>241</v>
      </c>
      <c r="G30">
        <v>291.11389999161474</v>
      </c>
      <c r="H30" t="s">
        <v>13</v>
      </c>
      <c r="I30">
        <v>5619</v>
      </c>
      <c r="J30">
        <v>38</v>
      </c>
      <c r="K30">
        <v>8</v>
      </c>
      <c r="L30">
        <v>2051</v>
      </c>
      <c r="M30" t="s">
        <v>14</v>
      </c>
    </row>
    <row r="31" spans="1:13" x14ac:dyDescent="0.25">
      <c r="A31">
        <v>2</v>
      </c>
      <c r="B31">
        <v>5</v>
      </c>
      <c r="C31">
        <v>2</v>
      </c>
      <c r="D31">
        <v>331</v>
      </c>
      <c r="E31">
        <v>86</v>
      </c>
      <c r="F31">
        <v>268</v>
      </c>
      <c r="G31">
        <v>247.82920000143349</v>
      </c>
      <c r="H31" t="s">
        <v>13</v>
      </c>
      <c r="I31">
        <v>7104</v>
      </c>
      <c r="J31">
        <v>43</v>
      </c>
      <c r="K31">
        <v>5</v>
      </c>
      <c r="L31">
        <v>2052</v>
      </c>
      <c r="M31" t="s">
        <v>14</v>
      </c>
    </row>
    <row r="32" spans="1:13" x14ac:dyDescent="0.25">
      <c r="A32">
        <v>2</v>
      </c>
      <c r="B32">
        <v>5</v>
      </c>
      <c r="C32">
        <v>3</v>
      </c>
      <c r="D32">
        <v>440</v>
      </c>
      <c r="E32">
        <v>103</v>
      </c>
      <c r="F32">
        <v>352</v>
      </c>
      <c r="G32">
        <v>765.87010000366718</v>
      </c>
      <c r="H32" t="s">
        <v>13</v>
      </c>
      <c r="I32">
        <v>24418</v>
      </c>
      <c r="J32">
        <v>117</v>
      </c>
      <c r="K32">
        <v>13</v>
      </c>
      <c r="L32">
        <v>2053</v>
      </c>
      <c r="M32" t="s">
        <v>14</v>
      </c>
    </row>
    <row r="33" spans="1:13" x14ac:dyDescent="0.25">
      <c r="A33">
        <v>2</v>
      </c>
      <c r="B33">
        <v>5</v>
      </c>
      <c r="C33">
        <v>5</v>
      </c>
      <c r="D33">
        <v>499</v>
      </c>
      <c r="E33">
        <v>120</v>
      </c>
      <c r="F33">
        <v>442</v>
      </c>
      <c r="G33">
        <v>1090.5425999953877</v>
      </c>
      <c r="H33" t="s">
        <v>13</v>
      </c>
      <c r="I33">
        <v>50224</v>
      </c>
      <c r="J33">
        <v>278</v>
      </c>
      <c r="K33">
        <v>13</v>
      </c>
      <c r="L33">
        <v>2055</v>
      </c>
      <c r="M33" t="s">
        <v>14</v>
      </c>
    </row>
    <row r="34" spans="1:13" x14ac:dyDescent="0.25">
      <c r="A34">
        <v>2</v>
      </c>
      <c r="B34">
        <v>6</v>
      </c>
      <c r="C34">
        <v>1</v>
      </c>
      <c r="D34">
        <v>333</v>
      </c>
      <c r="E34">
        <v>74</v>
      </c>
      <c r="F34">
        <v>232</v>
      </c>
      <c r="G34">
        <v>910.06490000290796</v>
      </c>
      <c r="H34" t="s">
        <v>13</v>
      </c>
      <c r="I34">
        <v>18289</v>
      </c>
      <c r="J34">
        <v>108</v>
      </c>
      <c r="K34">
        <v>25</v>
      </c>
      <c r="L34">
        <v>2061</v>
      </c>
      <c r="M34" t="s">
        <v>14</v>
      </c>
    </row>
    <row r="35" spans="1:13" x14ac:dyDescent="0.25">
      <c r="A35">
        <v>2</v>
      </c>
      <c r="B35">
        <v>6</v>
      </c>
      <c r="C35">
        <v>2</v>
      </c>
      <c r="D35">
        <v>416</v>
      </c>
      <c r="E35">
        <v>93</v>
      </c>
      <c r="F35">
        <v>283</v>
      </c>
      <c r="G35">
        <v>1475.6911000004038</v>
      </c>
      <c r="H35" t="s">
        <v>13</v>
      </c>
      <c r="I35">
        <v>57722</v>
      </c>
      <c r="J35">
        <v>198</v>
      </c>
      <c r="K35">
        <v>31</v>
      </c>
      <c r="L35">
        <v>2062</v>
      </c>
      <c r="M35" t="s">
        <v>14</v>
      </c>
    </row>
    <row r="36" spans="1:13" x14ac:dyDescent="0.25">
      <c r="A36">
        <v>2</v>
      </c>
      <c r="B36">
        <v>6</v>
      </c>
      <c r="C36">
        <v>3</v>
      </c>
      <c r="D36">
        <v>494</v>
      </c>
      <c r="E36">
        <v>90</v>
      </c>
      <c r="F36">
        <v>298</v>
      </c>
      <c r="G36">
        <v>928.84020000929013</v>
      </c>
      <c r="H36" t="s">
        <v>13</v>
      </c>
      <c r="I36">
        <v>56088</v>
      </c>
      <c r="J36">
        <v>132</v>
      </c>
      <c r="K36">
        <v>14</v>
      </c>
      <c r="L36">
        <v>2063</v>
      </c>
      <c r="M36" t="s">
        <v>14</v>
      </c>
    </row>
    <row r="37" spans="1:13" x14ac:dyDescent="0.25">
      <c r="A37">
        <v>2</v>
      </c>
      <c r="B37">
        <v>6</v>
      </c>
      <c r="C37">
        <v>5</v>
      </c>
      <c r="F37">
        <v>418</v>
      </c>
      <c r="H37" t="s">
        <v>15</v>
      </c>
      <c r="L37">
        <v>2065</v>
      </c>
      <c r="M37" t="s">
        <v>40</v>
      </c>
    </row>
    <row r="38" spans="1:13" x14ac:dyDescent="0.25">
      <c r="A38">
        <v>2</v>
      </c>
      <c r="B38">
        <v>8</v>
      </c>
      <c r="C38">
        <v>1</v>
      </c>
      <c r="D38">
        <v>496</v>
      </c>
      <c r="E38">
        <v>87</v>
      </c>
      <c r="F38">
        <v>271</v>
      </c>
      <c r="G38">
        <v>327.69720000214875</v>
      </c>
      <c r="H38" t="s">
        <v>13</v>
      </c>
      <c r="I38">
        <v>7407</v>
      </c>
      <c r="J38">
        <v>36</v>
      </c>
      <c r="K38">
        <v>6</v>
      </c>
      <c r="L38">
        <v>2081</v>
      </c>
      <c r="M38" t="s">
        <v>14</v>
      </c>
    </row>
    <row r="39" spans="1:13" x14ac:dyDescent="0.25">
      <c r="A39">
        <v>2</v>
      </c>
      <c r="B39">
        <v>8</v>
      </c>
      <c r="C39">
        <v>2</v>
      </c>
      <c r="D39">
        <v>571</v>
      </c>
      <c r="E39">
        <v>89</v>
      </c>
      <c r="F39">
        <v>310</v>
      </c>
      <c r="G39">
        <v>597.11970001808368</v>
      </c>
      <c r="H39" t="s">
        <v>13</v>
      </c>
      <c r="I39">
        <v>15336</v>
      </c>
      <c r="J39">
        <v>84</v>
      </c>
      <c r="K39">
        <v>11</v>
      </c>
      <c r="L39">
        <v>2082</v>
      </c>
      <c r="M39" t="s">
        <v>14</v>
      </c>
    </row>
    <row r="40" spans="1:13" x14ac:dyDescent="0.25">
      <c r="A40">
        <v>2</v>
      </c>
      <c r="B40">
        <v>8</v>
      </c>
      <c r="C40">
        <v>3</v>
      </c>
      <c r="D40">
        <v>597</v>
      </c>
      <c r="E40">
        <v>95</v>
      </c>
      <c r="F40">
        <v>340</v>
      </c>
      <c r="G40">
        <v>1819.4791999994777</v>
      </c>
      <c r="H40" t="s">
        <v>13</v>
      </c>
      <c r="I40">
        <v>166704</v>
      </c>
      <c r="J40">
        <v>153</v>
      </c>
      <c r="K40">
        <v>14</v>
      </c>
      <c r="L40">
        <v>2083</v>
      </c>
      <c r="M40" t="s">
        <v>14</v>
      </c>
    </row>
    <row r="41" spans="1:13" x14ac:dyDescent="0.25">
      <c r="A41">
        <v>2</v>
      </c>
      <c r="B41">
        <v>8</v>
      </c>
      <c r="C41">
        <v>5</v>
      </c>
      <c r="F41">
        <v>379</v>
      </c>
      <c r="H41" t="s">
        <v>15</v>
      </c>
      <c r="L41">
        <v>2085</v>
      </c>
      <c r="M41" t="s">
        <v>40</v>
      </c>
    </row>
    <row r="42" spans="1:13" x14ac:dyDescent="0.25">
      <c r="A42">
        <v>3</v>
      </c>
      <c r="B42">
        <v>2</v>
      </c>
      <c r="C42">
        <v>1</v>
      </c>
      <c r="D42">
        <v>154</v>
      </c>
      <c r="E42">
        <v>103</v>
      </c>
      <c r="F42">
        <v>319</v>
      </c>
      <c r="G42">
        <v>89.03109998209402</v>
      </c>
      <c r="H42" t="s">
        <v>13</v>
      </c>
      <c r="I42">
        <v>2473</v>
      </c>
      <c r="J42">
        <v>8</v>
      </c>
      <c r="K42">
        <v>2</v>
      </c>
      <c r="L42">
        <v>3021</v>
      </c>
      <c r="M42" t="s">
        <v>14</v>
      </c>
    </row>
    <row r="43" spans="1:13" x14ac:dyDescent="0.25">
      <c r="A43">
        <v>3</v>
      </c>
      <c r="B43">
        <v>2</v>
      </c>
      <c r="C43">
        <v>2</v>
      </c>
      <c r="D43">
        <v>101</v>
      </c>
      <c r="E43">
        <v>51</v>
      </c>
      <c r="F43">
        <v>160</v>
      </c>
      <c r="G43">
        <v>23.291799996513873</v>
      </c>
      <c r="H43" t="s">
        <v>13</v>
      </c>
      <c r="I43">
        <v>682</v>
      </c>
      <c r="J43">
        <v>6</v>
      </c>
      <c r="K43">
        <v>1</v>
      </c>
      <c r="L43">
        <v>3022</v>
      </c>
      <c r="M43" t="s">
        <v>14</v>
      </c>
    </row>
    <row r="44" spans="1:13" x14ac:dyDescent="0.25">
      <c r="A44">
        <v>3</v>
      </c>
      <c r="B44">
        <v>2</v>
      </c>
      <c r="C44">
        <v>3</v>
      </c>
      <c r="D44">
        <v>200</v>
      </c>
      <c r="E44">
        <v>106</v>
      </c>
      <c r="F44">
        <v>325</v>
      </c>
      <c r="G44">
        <v>93.626399990171194</v>
      </c>
      <c r="H44" t="s">
        <v>13</v>
      </c>
      <c r="I44">
        <v>3280</v>
      </c>
      <c r="J44">
        <v>16</v>
      </c>
      <c r="K44">
        <v>2</v>
      </c>
      <c r="L44">
        <v>3023</v>
      </c>
      <c r="M44" t="s">
        <v>14</v>
      </c>
    </row>
    <row r="45" spans="1:13" x14ac:dyDescent="0.25">
      <c r="A45">
        <v>3</v>
      </c>
      <c r="B45">
        <v>2</v>
      </c>
      <c r="C45">
        <v>5</v>
      </c>
      <c r="D45">
        <v>195</v>
      </c>
      <c r="E45">
        <v>103</v>
      </c>
      <c r="F45">
        <v>295</v>
      </c>
      <c r="G45">
        <v>52.563300007022917</v>
      </c>
      <c r="H45" t="s">
        <v>13</v>
      </c>
      <c r="I45">
        <v>2725</v>
      </c>
      <c r="J45">
        <v>15</v>
      </c>
      <c r="K45">
        <v>1</v>
      </c>
      <c r="L45">
        <v>3025</v>
      </c>
      <c r="M45" t="s">
        <v>14</v>
      </c>
    </row>
    <row r="46" spans="1:13" x14ac:dyDescent="0.25">
      <c r="A46">
        <v>3</v>
      </c>
      <c r="B46">
        <v>4</v>
      </c>
      <c r="C46">
        <v>1</v>
      </c>
      <c r="D46">
        <v>240</v>
      </c>
      <c r="E46">
        <v>79</v>
      </c>
      <c r="F46">
        <v>247</v>
      </c>
      <c r="G46">
        <v>196.06059999205172</v>
      </c>
      <c r="H46" t="s">
        <v>13</v>
      </c>
      <c r="I46">
        <v>4769</v>
      </c>
      <c r="J46">
        <v>24</v>
      </c>
      <c r="K46">
        <v>5</v>
      </c>
      <c r="L46">
        <v>3041</v>
      </c>
      <c r="M46" t="s">
        <v>14</v>
      </c>
    </row>
    <row r="47" spans="1:13" x14ac:dyDescent="0.25">
      <c r="A47">
        <v>3</v>
      </c>
      <c r="B47">
        <v>4</v>
      </c>
      <c r="C47">
        <v>2</v>
      </c>
      <c r="D47">
        <v>332</v>
      </c>
      <c r="E47">
        <v>93</v>
      </c>
      <c r="F47">
        <v>280</v>
      </c>
      <c r="G47">
        <v>3120.2461999782827</v>
      </c>
      <c r="H47" t="s">
        <v>13</v>
      </c>
      <c r="I47">
        <v>108607</v>
      </c>
      <c r="J47">
        <v>444</v>
      </c>
      <c r="K47">
        <v>73</v>
      </c>
      <c r="L47">
        <v>3042</v>
      </c>
      <c r="M47" t="s">
        <v>14</v>
      </c>
    </row>
    <row r="48" spans="1:13" x14ac:dyDescent="0.25">
      <c r="A48">
        <v>3</v>
      </c>
      <c r="B48">
        <v>4</v>
      </c>
      <c r="C48">
        <v>3</v>
      </c>
      <c r="D48">
        <v>288</v>
      </c>
      <c r="E48">
        <v>95</v>
      </c>
      <c r="F48">
        <v>373</v>
      </c>
      <c r="G48">
        <v>838.175200013211</v>
      </c>
      <c r="H48" t="s">
        <v>13</v>
      </c>
      <c r="I48">
        <v>23394</v>
      </c>
      <c r="J48">
        <v>136</v>
      </c>
      <c r="K48">
        <v>15</v>
      </c>
      <c r="L48">
        <v>3043</v>
      </c>
      <c r="M48" t="s">
        <v>14</v>
      </c>
    </row>
    <row r="49" spans="1:13" x14ac:dyDescent="0.25">
      <c r="A49">
        <v>3</v>
      </c>
      <c r="B49">
        <v>4</v>
      </c>
      <c r="C49">
        <v>5</v>
      </c>
      <c r="D49">
        <v>388</v>
      </c>
      <c r="E49">
        <v>102</v>
      </c>
      <c r="F49">
        <v>460</v>
      </c>
      <c r="G49">
        <v>25219.500399980461</v>
      </c>
      <c r="H49" t="s">
        <v>13</v>
      </c>
      <c r="I49">
        <v>1690662</v>
      </c>
      <c r="J49">
        <v>5624</v>
      </c>
      <c r="K49">
        <v>262</v>
      </c>
      <c r="L49">
        <v>3045</v>
      </c>
      <c r="M49" t="s">
        <v>14</v>
      </c>
    </row>
    <row r="50" spans="1:13" x14ac:dyDescent="0.25">
      <c r="A50">
        <v>3</v>
      </c>
      <c r="B50">
        <v>5</v>
      </c>
      <c r="C50">
        <v>1</v>
      </c>
      <c r="D50">
        <v>291</v>
      </c>
      <c r="E50">
        <v>73</v>
      </c>
      <c r="F50">
        <v>229</v>
      </c>
      <c r="G50">
        <v>194.5244999951683</v>
      </c>
      <c r="H50" t="s">
        <v>13</v>
      </c>
      <c r="I50">
        <v>3943</v>
      </c>
      <c r="J50">
        <v>26</v>
      </c>
      <c r="K50">
        <v>5</v>
      </c>
      <c r="L50">
        <v>3051</v>
      </c>
      <c r="M50" t="s">
        <v>14</v>
      </c>
    </row>
    <row r="51" spans="1:13" x14ac:dyDescent="0.25">
      <c r="A51">
        <v>3</v>
      </c>
      <c r="B51">
        <v>5</v>
      </c>
      <c r="C51">
        <v>2</v>
      </c>
      <c r="D51">
        <v>298</v>
      </c>
      <c r="E51">
        <v>81</v>
      </c>
      <c r="F51">
        <v>241</v>
      </c>
      <c r="G51">
        <v>243.6800999857951</v>
      </c>
      <c r="H51" t="s">
        <v>13</v>
      </c>
      <c r="I51">
        <v>5817</v>
      </c>
      <c r="J51">
        <v>45</v>
      </c>
      <c r="K51">
        <v>6</v>
      </c>
      <c r="L51">
        <v>3052</v>
      </c>
      <c r="M51" t="s">
        <v>14</v>
      </c>
    </row>
    <row r="52" spans="1:13" x14ac:dyDescent="0.25">
      <c r="A52">
        <v>3</v>
      </c>
      <c r="B52">
        <v>5</v>
      </c>
      <c r="C52">
        <v>3</v>
      </c>
      <c r="D52">
        <v>412</v>
      </c>
      <c r="E52">
        <v>94</v>
      </c>
      <c r="F52">
        <v>379</v>
      </c>
      <c r="G52">
        <v>401.96899999864399</v>
      </c>
      <c r="H52" t="s">
        <v>13</v>
      </c>
      <c r="I52">
        <v>12191</v>
      </c>
      <c r="J52">
        <v>60</v>
      </c>
      <c r="K52">
        <v>6</v>
      </c>
      <c r="L52">
        <v>3053</v>
      </c>
      <c r="M52" t="s">
        <v>14</v>
      </c>
    </row>
    <row r="53" spans="1:13" x14ac:dyDescent="0.25">
      <c r="A53">
        <v>3</v>
      </c>
      <c r="B53">
        <v>5</v>
      </c>
      <c r="C53">
        <v>5</v>
      </c>
      <c r="D53">
        <v>485</v>
      </c>
      <c r="E53">
        <v>115</v>
      </c>
      <c r="F53">
        <v>520</v>
      </c>
      <c r="G53">
        <v>1896.7815000214614</v>
      </c>
      <c r="H53" t="s">
        <v>13</v>
      </c>
      <c r="I53">
        <v>66727</v>
      </c>
      <c r="J53">
        <v>401</v>
      </c>
      <c r="K53">
        <v>23</v>
      </c>
      <c r="L53">
        <v>3055</v>
      </c>
      <c r="M53" t="s">
        <v>14</v>
      </c>
    </row>
    <row r="54" spans="1:13" x14ac:dyDescent="0.25">
      <c r="A54">
        <v>3</v>
      </c>
      <c r="B54">
        <v>6</v>
      </c>
      <c r="C54">
        <v>1</v>
      </c>
      <c r="D54">
        <v>282</v>
      </c>
      <c r="E54">
        <v>78</v>
      </c>
      <c r="F54">
        <v>244</v>
      </c>
      <c r="G54">
        <v>340.4922999907285</v>
      </c>
      <c r="H54" t="s">
        <v>13</v>
      </c>
      <c r="I54">
        <v>5544</v>
      </c>
      <c r="J54">
        <v>44</v>
      </c>
      <c r="K54">
        <v>9</v>
      </c>
      <c r="L54">
        <v>3061</v>
      </c>
      <c r="M54" t="s">
        <v>14</v>
      </c>
    </row>
    <row r="55" spans="1:13" x14ac:dyDescent="0.25">
      <c r="A55">
        <v>3</v>
      </c>
      <c r="B55">
        <v>6</v>
      </c>
      <c r="C55">
        <v>2</v>
      </c>
      <c r="D55">
        <v>480</v>
      </c>
      <c r="E55">
        <v>98</v>
      </c>
      <c r="F55">
        <v>304</v>
      </c>
      <c r="G55">
        <v>361.6123000101652</v>
      </c>
      <c r="H55" t="s">
        <v>13</v>
      </c>
      <c r="I55">
        <v>9355</v>
      </c>
      <c r="J55">
        <v>54</v>
      </c>
      <c r="K55">
        <v>7</v>
      </c>
      <c r="L55">
        <v>3062</v>
      </c>
      <c r="M55" t="s">
        <v>14</v>
      </c>
    </row>
    <row r="56" spans="1:13" x14ac:dyDescent="0.25">
      <c r="A56">
        <v>3</v>
      </c>
      <c r="B56">
        <v>6</v>
      </c>
      <c r="C56">
        <v>3</v>
      </c>
      <c r="D56">
        <v>520</v>
      </c>
      <c r="E56">
        <v>97</v>
      </c>
      <c r="F56">
        <v>340</v>
      </c>
      <c r="G56">
        <v>18338.611799990758</v>
      </c>
      <c r="H56" t="s">
        <v>13</v>
      </c>
      <c r="I56">
        <v>2360515</v>
      </c>
      <c r="J56">
        <v>518</v>
      </c>
      <c r="K56">
        <v>61</v>
      </c>
      <c r="L56">
        <v>3063</v>
      </c>
      <c r="M56" t="s">
        <v>14</v>
      </c>
    </row>
    <row r="57" spans="1:13" x14ac:dyDescent="0.25">
      <c r="A57">
        <v>3</v>
      </c>
      <c r="B57">
        <v>6</v>
      </c>
      <c r="C57">
        <v>5</v>
      </c>
      <c r="F57">
        <v>430</v>
      </c>
      <c r="H57" t="s">
        <v>15</v>
      </c>
      <c r="L57">
        <v>3065</v>
      </c>
      <c r="M57" t="s">
        <v>40</v>
      </c>
    </row>
    <row r="58" spans="1:13" x14ac:dyDescent="0.25">
      <c r="A58">
        <v>3</v>
      </c>
      <c r="B58">
        <v>8</v>
      </c>
      <c r="C58">
        <v>1</v>
      </c>
      <c r="D58">
        <v>562</v>
      </c>
      <c r="E58">
        <v>88</v>
      </c>
      <c r="F58">
        <v>268</v>
      </c>
      <c r="G58">
        <v>4281.3680999970529</v>
      </c>
      <c r="H58" t="s">
        <v>13</v>
      </c>
      <c r="I58">
        <v>174281</v>
      </c>
      <c r="J58">
        <v>396</v>
      </c>
      <c r="K58">
        <v>96</v>
      </c>
      <c r="L58">
        <v>3081</v>
      </c>
      <c r="M58" t="s">
        <v>14</v>
      </c>
    </row>
    <row r="59" spans="1:13" x14ac:dyDescent="0.25">
      <c r="A59">
        <v>3</v>
      </c>
      <c r="B59">
        <v>8</v>
      </c>
      <c r="C59">
        <v>2</v>
      </c>
      <c r="D59">
        <v>622</v>
      </c>
      <c r="E59">
        <v>91</v>
      </c>
      <c r="F59">
        <v>334</v>
      </c>
      <c r="G59">
        <v>1432.0132999855559</v>
      </c>
      <c r="H59" t="s">
        <v>13</v>
      </c>
      <c r="I59">
        <v>33023</v>
      </c>
      <c r="J59">
        <v>186</v>
      </c>
      <c r="K59">
        <v>28</v>
      </c>
      <c r="L59">
        <v>3082</v>
      </c>
      <c r="M59" t="s">
        <v>14</v>
      </c>
    </row>
    <row r="60" spans="1:13" x14ac:dyDescent="0.25">
      <c r="A60">
        <v>3</v>
      </c>
      <c r="B60">
        <v>8</v>
      </c>
      <c r="C60">
        <v>3</v>
      </c>
      <c r="D60">
        <v>649</v>
      </c>
      <c r="E60">
        <v>89</v>
      </c>
      <c r="F60">
        <v>364</v>
      </c>
      <c r="G60">
        <v>12716.625700006261</v>
      </c>
      <c r="H60" t="s">
        <v>13</v>
      </c>
      <c r="I60">
        <v>980403</v>
      </c>
      <c r="J60">
        <v>1619</v>
      </c>
      <c r="K60">
        <v>146</v>
      </c>
      <c r="L60">
        <v>3083</v>
      </c>
      <c r="M60" t="s">
        <v>14</v>
      </c>
    </row>
    <row r="61" spans="1:13" x14ac:dyDescent="0.25">
      <c r="A61">
        <v>3</v>
      </c>
      <c r="B61">
        <v>8</v>
      </c>
      <c r="C61">
        <v>5</v>
      </c>
      <c r="F61">
        <v>457</v>
      </c>
      <c r="H61" t="s">
        <v>15</v>
      </c>
      <c r="L61">
        <v>3085</v>
      </c>
      <c r="M61" t="s">
        <v>40</v>
      </c>
    </row>
    <row r="62" spans="1:13" x14ac:dyDescent="0.25">
      <c r="A62">
        <v>4</v>
      </c>
      <c r="B62">
        <v>2</v>
      </c>
      <c r="C62">
        <v>1</v>
      </c>
      <c r="D62">
        <v>157</v>
      </c>
      <c r="E62">
        <v>99</v>
      </c>
      <c r="F62">
        <v>307</v>
      </c>
      <c r="G62">
        <v>47.35510001773946</v>
      </c>
      <c r="H62" t="s">
        <v>13</v>
      </c>
      <c r="I62">
        <v>1279</v>
      </c>
      <c r="J62">
        <v>4</v>
      </c>
      <c r="K62">
        <v>1</v>
      </c>
      <c r="L62">
        <v>4021</v>
      </c>
      <c r="M62" t="s">
        <v>14</v>
      </c>
    </row>
    <row r="63" spans="1:13" x14ac:dyDescent="0.25">
      <c r="A63">
        <v>4</v>
      </c>
      <c r="B63">
        <v>2</v>
      </c>
      <c r="C63">
        <v>2</v>
      </c>
      <c r="D63">
        <v>152</v>
      </c>
      <c r="E63">
        <v>85</v>
      </c>
      <c r="F63">
        <v>265</v>
      </c>
      <c r="G63">
        <v>44.569099991349503</v>
      </c>
      <c r="H63" t="s">
        <v>13</v>
      </c>
      <c r="I63">
        <v>1049</v>
      </c>
      <c r="J63">
        <v>6</v>
      </c>
      <c r="K63">
        <v>1</v>
      </c>
      <c r="L63">
        <v>4022</v>
      </c>
      <c r="M63" t="s">
        <v>14</v>
      </c>
    </row>
    <row r="64" spans="1:13" x14ac:dyDescent="0.25">
      <c r="A64">
        <v>4</v>
      </c>
      <c r="B64">
        <v>2</v>
      </c>
      <c r="C64">
        <v>3</v>
      </c>
      <c r="D64">
        <v>156</v>
      </c>
      <c r="E64">
        <v>82</v>
      </c>
      <c r="F64">
        <v>304</v>
      </c>
      <c r="G64">
        <v>47.7625000057742</v>
      </c>
      <c r="H64" t="s">
        <v>13</v>
      </c>
      <c r="I64">
        <v>1204</v>
      </c>
      <c r="J64">
        <v>8</v>
      </c>
      <c r="K64">
        <v>1</v>
      </c>
      <c r="L64">
        <v>4023</v>
      </c>
      <c r="M64" t="s">
        <v>14</v>
      </c>
    </row>
    <row r="65" spans="1:13" x14ac:dyDescent="0.25">
      <c r="A65">
        <v>4</v>
      </c>
      <c r="B65">
        <v>2</v>
      </c>
      <c r="C65">
        <v>5</v>
      </c>
      <c r="D65">
        <v>183</v>
      </c>
      <c r="E65">
        <v>103</v>
      </c>
      <c r="F65">
        <v>559</v>
      </c>
      <c r="G65">
        <v>83.660900010727346</v>
      </c>
      <c r="H65" t="s">
        <v>13</v>
      </c>
      <c r="I65">
        <v>2474</v>
      </c>
      <c r="J65">
        <v>14</v>
      </c>
      <c r="K65">
        <v>1</v>
      </c>
      <c r="L65">
        <v>4025</v>
      </c>
      <c r="M65" t="s">
        <v>14</v>
      </c>
    </row>
    <row r="66" spans="1:13" x14ac:dyDescent="0.25">
      <c r="A66">
        <v>4</v>
      </c>
      <c r="B66">
        <v>4</v>
      </c>
      <c r="C66">
        <v>1</v>
      </c>
      <c r="D66">
        <v>263</v>
      </c>
      <c r="E66">
        <v>88</v>
      </c>
      <c r="F66">
        <v>274</v>
      </c>
      <c r="G66">
        <v>113.14540001330897</v>
      </c>
      <c r="H66" t="s">
        <v>13</v>
      </c>
      <c r="I66">
        <v>2316</v>
      </c>
      <c r="J66">
        <v>12</v>
      </c>
      <c r="K66">
        <v>2</v>
      </c>
      <c r="L66">
        <v>4041</v>
      </c>
      <c r="M66" t="s">
        <v>14</v>
      </c>
    </row>
    <row r="67" spans="1:13" x14ac:dyDescent="0.25">
      <c r="A67">
        <v>4</v>
      </c>
      <c r="B67">
        <v>4</v>
      </c>
      <c r="C67">
        <v>2</v>
      </c>
      <c r="D67">
        <v>298</v>
      </c>
      <c r="E67">
        <v>83</v>
      </c>
      <c r="F67">
        <v>268</v>
      </c>
      <c r="G67">
        <v>116.06339999707416</v>
      </c>
      <c r="H67" t="s">
        <v>13</v>
      </c>
      <c r="I67">
        <v>3142</v>
      </c>
      <c r="J67">
        <v>18</v>
      </c>
      <c r="K67">
        <v>2</v>
      </c>
      <c r="L67">
        <v>4042</v>
      </c>
      <c r="M67" t="s">
        <v>14</v>
      </c>
    </row>
    <row r="68" spans="1:13" x14ac:dyDescent="0.25">
      <c r="A68">
        <v>4</v>
      </c>
      <c r="B68">
        <v>4</v>
      </c>
      <c r="C68">
        <v>3</v>
      </c>
      <c r="D68">
        <v>287</v>
      </c>
      <c r="E68">
        <v>84</v>
      </c>
      <c r="F68">
        <v>358</v>
      </c>
      <c r="G68">
        <v>3145.7693999982439</v>
      </c>
      <c r="H68" t="s">
        <v>13</v>
      </c>
      <c r="I68">
        <v>113152</v>
      </c>
      <c r="J68">
        <v>518</v>
      </c>
      <c r="K68">
        <v>53</v>
      </c>
      <c r="L68">
        <v>4043</v>
      </c>
      <c r="M68" t="s">
        <v>14</v>
      </c>
    </row>
    <row r="69" spans="1:13" x14ac:dyDescent="0.25">
      <c r="A69">
        <v>4</v>
      </c>
      <c r="B69">
        <v>4</v>
      </c>
      <c r="C69">
        <v>5</v>
      </c>
      <c r="D69">
        <v>395</v>
      </c>
      <c r="E69">
        <v>110</v>
      </c>
      <c r="F69">
        <v>481</v>
      </c>
      <c r="G69">
        <v>61741.554700012784</v>
      </c>
      <c r="H69" t="s">
        <v>13</v>
      </c>
      <c r="I69">
        <v>6062458</v>
      </c>
      <c r="J69">
        <v>6801</v>
      </c>
      <c r="K69">
        <v>341</v>
      </c>
      <c r="L69">
        <v>4045</v>
      </c>
      <c r="M69" t="s">
        <v>14</v>
      </c>
    </row>
    <row r="70" spans="1:13" x14ac:dyDescent="0.25">
      <c r="A70">
        <v>4</v>
      </c>
      <c r="B70">
        <v>5</v>
      </c>
      <c r="C70">
        <v>1</v>
      </c>
      <c r="D70">
        <v>357</v>
      </c>
      <c r="E70">
        <v>92</v>
      </c>
      <c r="F70">
        <v>286</v>
      </c>
      <c r="G70">
        <v>216.76349997869693</v>
      </c>
      <c r="H70" t="s">
        <v>13</v>
      </c>
      <c r="I70">
        <v>5139</v>
      </c>
      <c r="J70">
        <v>22</v>
      </c>
      <c r="K70">
        <v>4</v>
      </c>
      <c r="L70">
        <v>4051</v>
      </c>
      <c r="M70" t="s">
        <v>14</v>
      </c>
    </row>
    <row r="71" spans="1:13" x14ac:dyDescent="0.25">
      <c r="A71">
        <v>4</v>
      </c>
      <c r="B71">
        <v>5</v>
      </c>
      <c r="C71">
        <v>2</v>
      </c>
      <c r="D71">
        <v>408</v>
      </c>
      <c r="E71">
        <v>103</v>
      </c>
      <c r="F71">
        <v>370</v>
      </c>
      <c r="G71">
        <v>360.78190000262111</v>
      </c>
      <c r="H71" t="s">
        <v>13</v>
      </c>
      <c r="I71">
        <v>7489</v>
      </c>
      <c r="J71">
        <v>45</v>
      </c>
      <c r="K71">
        <v>6</v>
      </c>
      <c r="L71">
        <v>4052</v>
      </c>
      <c r="M71" t="s">
        <v>14</v>
      </c>
    </row>
    <row r="72" spans="1:13" x14ac:dyDescent="0.25">
      <c r="A72">
        <v>4</v>
      </c>
      <c r="B72">
        <v>5</v>
      </c>
      <c r="C72">
        <v>3</v>
      </c>
      <c r="D72">
        <v>368</v>
      </c>
      <c r="E72">
        <v>83</v>
      </c>
      <c r="F72">
        <v>334</v>
      </c>
      <c r="G72">
        <v>753.77280000247993</v>
      </c>
      <c r="H72" t="s">
        <v>13</v>
      </c>
      <c r="I72">
        <v>22900</v>
      </c>
      <c r="J72">
        <v>135</v>
      </c>
      <c r="K72">
        <v>14</v>
      </c>
      <c r="L72">
        <v>4053</v>
      </c>
      <c r="M72" t="s">
        <v>14</v>
      </c>
    </row>
    <row r="73" spans="1:13" x14ac:dyDescent="0.25">
      <c r="A73">
        <v>4</v>
      </c>
      <c r="B73">
        <v>5</v>
      </c>
      <c r="C73">
        <v>5</v>
      </c>
      <c r="D73">
        <v>457</v>
      </c>
      <c r="E73">
        <v>107</v>
      </c>
      <c r="F73">
        <v>460</v>
      </c>
      <c r="G73">
        <v>1741.1642999795731</v>
      </c>
      <c r="H73" t="s">
        <v>13</v>
      </c>
      <c r="I73">
        <v>94788</v>
      </c>
      <c r="J73">
        <v>308</v>
      </c>
      <c r="K73">
        <v>19</v>
      </c>
      <c r="L73">
        <v>4055</v>
      </c>
      <c r="M73" t="s">
        <v>14</v>
      </c>
    </row>
    <row r="74" spans="1:13" x14ac:dyDescent="0.25">
      <c r="A74">
        <v>4</v>
      </c>
      <c r="B74">
        <v>6</v>
      </c>
      <c r="C74">
        <v>1</v>
      </c>
      <c r="D74">
        <v>426</v>
      </c>
      <c r="E74">
        <v>83</v>
      </c>
      <c r="F74">
        <v>244</v>
      </c>
      <c r="G74">
        <v>1570.0079999805894</v>
      </c>
      <c r="H74" t="s">
        <v>13</v>
      </c>
      <c r="I74">
        <v>50562</v>
      </c>
      <c r="J74">
        <v>176</v>
      </c>
      <c r="K74">
        <v>42</v>
      </c>
      <c r="L74">
        <v>4061</v>
      </c>
      <c r="M74" t="s">
        <v>14</v>
      </c>
    </row>
    <row r="75" spans="1:13" x14ac:dyDescent="0.25">
      <c r="A75">
        <v>4</v>
      </c>
      <c r="B75">
        <v>6</v>
      </c>
      <c r="C75">
        <v>2</v>
      </c>
      <c r="D75">
        <v>423</v>
      </c>
      <c r="E75">
        <v>101</v>
      </c>
      <c r="F75">
        <v>307</v>
      </c>
      <c r="G75">
        <v>821.07649999670684</v>
      </c>
      <c r="H75" t="s">
        <v>13</v>
      </c>
      <c r="I75">
        <v>21341</v>
      </c>
      <c r="J75">
        <v>117</v>
      </c>
      <c r="K75">
        <v>17</v>
      </c>
      <c r="L75">
        <v>4062</v>
      </c>
      <c r="M75" t="s">
        <v>14</v>
      </c>
    </row>
    <row r="76" spans="1:13" x14ac:dyDescent="0.25">
      <c r="A76">
        <v>4</v>
      </c>
      <c r="B76">
        <v>6</v>
      </c>
      <c r="C76">
        <v>3</v>
      </c>
      <c r="F76">
        <v>346</v>
      </c>
      <c r="H76" t="s">
        <v>15</v>
      </c>
      <c r="L76">
        <v>4063</v>
      </c>
      <c r="M76" t="s">
        <v>40</v>
      </c>
    </row>
    <row r="77" spans="1:13" x14ac:dyDescent="0.25">
      <c r="A77">
        <v>4</v>
      </c>
      <c r="B77">
        <v>6</v>
      </c>
      <c r="C77">
        <v>5</v>
      </c>
      <c r="F77">
        <v>481</v>
      </c>
      <c r="H77" t="s">
        <v>15</v>
      </c>
      <c r="L77">
        <v>4065</v>
      </c>
      <c r="M77" t="s">
        <v>40</v>
      </c>
    </row>
    <row r="78" spans="1:13" x14ac:dyDescent="0.25">
      <c r="A78">
        <v>4</v>
      </c>
      <c r="B78">
        <v>8</v>
      </c>
      <c r="C78">
        <v>1</v>
      </c>
      <c r="D78">
        <v>442</v>
      </c>
      <c r="E78">
        <v>74</v>
      </c>
      <c r="F78">
        <v>232</v>
      </c>
      <c r="G78">
        <v>573.02759998128749</v>
      </c>
      <c r="H78" t="s">
        <v>13</v>
      </c>
      <c r="I78">
        <v>12258</v>
      </c>
      <c r="J78">
        <v>72</v>
      </c>
      <c r="K78">
        <v>15</v>
      </c>
      <c r="L78">
        <v>4081</v>
      </c>
      <c r="M78" t="s">
        <v>14</v>
      </c>
    </row>
    <row r="79" spans="1:13" x14ac:dyDescent="0.25">
      <c r="A79">
        <v>4</v>
      </c>
      <c r="B79">
        <v>8</v>
      </c>
      <c r="C79">
        <v>2</v>
      </c>
      <c r="D79">
        <v>658</v>
      </c>
      <c r="E79">
        <v>106</v>
      </c>
      <c r="F79">
        <v>289</v>
      </c>
      <c r="G79">
        <v>1683.3026999956928</v>
      </c>
      <c r="H79" t="s">
        <v>13</v>
      </c>
      <c r="I79">
        <v>47836</v>
      </c>
      <c r="J79">
        <v>246</v>
      </c>
      <c r="K79">
        <v>37</v>
      </c>
      <c r="L79">
        <v>4082</v>
      </c>
      <c r="M79" t="s">
        <v>14</v>
      </c>
    </row>
    <row r="80" spans="1:13" x14ac:dyDescent="0.25">
      <c r="A80">
        <v>4</v>
      </c>
      <c r="B80">
        <v>8</v>
      </c>
      <c r="C80">
        <v>3</v>
      </c>
      <c r="D80">
        <v>626</v>
      </c>
      <c r="E80">
        <v>107</v>
      </c>
      <c r="F80">
        <v>379</v>
      </c>
      <c r="G80">
        <v>13720.709699991858</v>
      </c>
      <c r="H80" t="s">
        <v>13</v>
      </c>
      <c r="I80">
        <v>333072</v>
      </c>
      <c r="J80">
        <v>2132</v>
      </c>
      <c r="K80">
        <v>255</v>
      </c>
      <c r="L80">
        <v>4083</v>
      </c>
      <c r="M80" t="s">
        <v>14</v>
      </c>
    </row>
    <row r="81" spans="1:13" x14ac:dyDescent="0.25">
      <c r="A81">
        <v>4</v>
      </c>
      <c r="B81">
        <v>8</v>
      </c>
      <c r="C81">
        <v>5</v>
      </c>
      <c r="D81">
        <v>817</v>
      </c>
      <c r="E81">
        <v>123</v>
      </c>
      <c r="F81">
        <v>415</v>
      </c>
      <c r="G81">
        <v>61074.43060001242</v>
      </c>
      <c r="H81" t="s">
        <v>13</v>
      </c>
      <c r="I81">
        <v>6501243</v>
      </c>
      <c r="J81">
        <v>5090</v>
      </c>
      <c r="K81">
        <v>337</v>
      </c>
      <c r="L81">
        <v>4085</v>
      </c>
      <c r="M81" t="s">
        <v>14</v>
      </c>
    </row>
    <row r="82" spans="1:13" x14ac:dyDescent="0.25">
      <c r="A82">
        <v>5</v>
      </c>
      <c r="B82">
        <v>2</v>
      </c>
      <c r="C82">
        <v>1</v>
      </c>
      <c r="D82">
        <v>81</v>
      </c>
      <c r="E82">
        <v>42</v>
      </c>
      <c r="F82">
        <v>136</v>
      </c>
      <c r="G82">
        <v>19.225800002459437</v>
      </c>
      <c r="H82" t="s">
        <v>13</v>
      </c>
      <c r="I82">
        <v>475</v>
      </c>
      <c r="J82">
        <v>4</v>
      </c>
      <c r="K82">
        <v>1</v>
      </c>
      <c r="L82">
        <v>5021</v>
      </c>
      <c r="M82" t="s">
        <v>14</v>
      </c>
    </row>
    <row r="83" spans="1:13" x14ac:dyDescent="0.25">
      <c r="A83">
        <v>5</v>
      </c>
      <c r="B83">
        <v>2</v>
      </c>
      <c r="C83">
        <v>2</v>
      </c>
      <c r="D83">
        <v>150</v>
      </c>
      <c r="E83">
        <v>82</v>
      </c>
      <c r="F83">
        <v>220</v>
      </c>
      <c r="G83">
        <v>32.541399996262044</v>
      </c>
      <c r="H83" t="s">
        <v>13</v>
      </c>
      <c r="I83">
        <v>878</v>
      </c>
      <c r="J83">
        <v>6</v>
      </c>
      <c r="K83">
        <v>1</v>
      </c>
      <c r="L83">
        <v>5022</v>
      </c>
      <c r="M83" t="s">
        <v>14</v>
      </c>
    </row>
    <row r="84" spans="1:13" x14ac:dyDescent="0.25">
      <c r="A84">
        <v>5</v>
      </c>
      <c r="B84">
        <v>2</v>
      </c>
      <c r="C84">
        <v>3</v>
      </c>
      <c r="D84">
        <v>147</v>
      </c>
      <c r="E84">
        <v>78</v>
      </c>
      <c r="F84">
        <v>256</v>
      </c>
      <c r="G84">
        <v>36.905700020724908</v>
      </c>
      <c r="H84" t="s">
        <v>13</v>
      </c>
      <c r="I84">
        <v>1160</v>
      </c>
      <c r="J84">
        <v>9</v>
      </c>
      <c r="K84">
        <v>1</v>
      </c>
      <c r="L84">
        <v>5023</v>
      </c>
      <c r="M84" t="s">
        <v>14</v>
      </c>
    </row>
    <row r="85" spans="1:13" x14ac:dyDescent="0.25">
      <c r="A85">
        <v>5</v>
      </c>
      <c r="B85">
        <v>2</v>
      </c>
      <c r="C85">
        <v>5</v>
      </c>
      <c r="D85">
        <v>198</v>
      </c>
      <c r="E85">
        <v>99</v>
      </c>
      <c r="F85">
        <v>331</v>
      </c>
      <c r="G85">
        <v>58.157299994491041</v>
      </c>
      <c r="H85" t="s">
        <v>13</v>
      </c>
      <c r="I85">
        <v>2793</v>
      </c>
      <c r="J85">
        <v>14</v>
      </c>
      <c r="K85">
        <v>1</v>
      </c>
      <c r="L85">
        <v>5025</v>
      </c>
      <c r="M85" t="s">
        <v>14</v>
      </c>
    </row>
    <row r="86" spans="1:13" x14ac:dyDescent="0.25">
      <c r="A86">
        <v>5</v>
      </c>
      <c r="B86">
        <v>4</v>
      </c>
      <c r="C86">
        <v>1</v>
      </c>
      <c r="D86">
        <v>279</v>
      </c>
      <c r="E86">
        <v>87</v>
      </c>
      <c r="F86">
        <v>271</v>
      </c>
      <c r="G86">
        <v>75.916100002359599</v>
      </c>
      <c r="H86" t="s">
        <v>13</v>
      </c>
      <c r="I86">
        <v>1741</v>
      </c>
      <c r="J86">
        <v>8</v>
      </c>
      <c r="K86">
        <v>1</v>
      </c>
      <c r="L86">
        <v>5041</v>
      </c>
      <c r="M86" t="s">
        <v>14</v>
      </c>
    </row>
    <row r="87" spans="1:13" x14ac:dyDescent="0.25">
      <c r="A87">
        <v>5</v>
      </c>
      <c r="B87">
        <v>4</v>
      </c>
      <c r="C87">
        <v>2</v>
      </c>
      <c r="D87">
        <v>307</v>
      </c>
      <c r="E87">
        <v>89</v>
      </c>
      <c r="F87">
        <v>295</v>
      </c>
      <c r="G87">
        <v>163.66910000215285</v>
      </c>
      <c r="H87" t="s">
        <v>13</v>
      </c>
      <c r="I87">
        <v>4642</v>
      </c>
      <c r="J87">
        <v>24</v>
      </c>
      <c r="K87">
        <v>3</v>
      </c>
      <c r="L87">
        <v>5042</v>
      </c>
      <c r="M87" t="s">
        <v>14</v>
      </c>
    </row>
    <row r="88" spans="1:13" x14ac:dyDescent="0.25">
      <c r="A88">
        <v>5</v>
      </c>
      <c r="B88">
        <v>4</v>
      </c>
      <c r="C88">
        <v>3</v>
      </c>
      <c r="D88">
        <v>323</v>
      </c>
      <c r="E88">
        <v>90</v>
      </c>
      <c r="F88">
        <v>424</v>
      </c>
      <c r="G88">
        <v>292.05830002319999</v>
      </c>
      <c r="H88" t="s">
        <v>13</v>
      </c>
      <c r="I88">
        <v>7156</v>
      </c>
      <c r="J88">
        <v>44</v>
      </c>
      <c r="K88">
        <v>4</v>
      </c>
      <c r="L88">
        <v>5043</v>
      </c>
      <c r="M88" t="s">
        <v>14</v>
      </c>
    </row>
    <row r="89" spans="1:13" x14ac:dyDescent="0.25">
      <c r="A89">
        <v>5</v>
      </c>
      <c r="B89">
        <v>4</v>
      </c>
      <c r="C89">
        <v>5</v>
      </c>
      <c r="F89">
        <v>361</v>
      </c>
      <c r="H89" t="s">
        <v>15</v>
      </c>
      <c r="L89">
        <v>5045</v>
      </c>
      <c r="M89" t="s">
        <v>40</v>
      </c>
    </row>
    <row r="90" spans="1:13" x14ac:dyDescent="0.25">
      <c r="A90">
        <v>5</v>
      </c>
      <c r="B90">
        <v>5</v>
      </c>
      <c r="C90">
        <v>1</v>
      </c>
      <c r="D90">
        <v>266</v>
      </c>
      <c r="E90">
        <v>83</v>
      </c>
      <c r="F90">
        <v>259</v>
      </c>
      <c r="G90">
        <v>86.184299987507984</v>
      </c>
      <c r="H90" t="s">
        <v>13</v>
      </c>
      <c r="I90">
        <v>1520</v>
      </c>
      <c r="J90">
        <v>10</v>
      </c>
      <c r="K90">
        <v>1</v>
      </c>
      <c r="L90">
        <v>5051</v>
      </c>
      <c r="M90" t="s">
        <v>14</v>
      </c>
    </row>
    <row r="91" spans="1:13" x14ac:dyDescent="0.25">
      <c r="A91">
        <v>5</v>
      </c>
      <c r="B91">
        <v>5</v>
      </c>
      <c r="C91">
        <v>2</v>
      </c>
      <c r="D91">
        <v>348</v>
      </c>
      <c r="E91">
        <v>81</v>
      </c>
      <c r="F91">
        <v>253</v>
      </c>
      <c r="G91">
        <v>464.79900000849739</v>
      </c>
      <c r="H91" t="s">
        <v>13</v>
      </c>
      <c r="I91">
        <v>16137</v>
      </c>
      <c r="J91">
        <v>75</v>
      </c>
      <c r="K91">
        <v>11</v>
      </c>
      <c r="L91">
        <v>5052</v>
      </c>
      <c r="M91" t="s">
        <v>14</v>
      </c>
    </row>
    <row r="92" spans="1:13" x14ac:dyDescent="0.25">
      <c r="A92">
        <v>5</v>
      </c>
      <c r="B92">
        <v>5</v>
      </c>
      <c r="C92">
        <v>3</v>
      </c>
      <c r="D92">
        <v>409</v>
      </c>
      <c r="E92">
        <v>95</v>
      </c>
      <c r="F92">
        <v>337</v>
      </c>
      <c r="G92">
        <v>5260.3818000061437</v>
      </c>
      <c r="H92" t="s">
        <v>13</v>
      </c>
      <c r="I92">
        <v>493070</v>
      </c>
      <c r="J92">
        <v>418</v>
      </c>
      <c r="K92">
        <v>45</v>
      </c>
      <c r="L92">
        <v>5053</v>
      </c>
      <c r="M92" t="s">
        <v>14</v>
      </c>
    </row>
    <row r="93" spans="1:13" x14ac:dyDescent="0.25">
      <c r="A93">
        <v>5</v>
      </c>
      <c r="B93">
        <v>5</v>
      </c>
      <c r="C93">
        <v>5</v>
      </c>
      <c r="D93">
        <v>466</v>
      </c>
      <c r="E93">
        <v>109</v>
      </c>
      <c r="F93">
        <v>442</v>
      </c>
      <c r="G93">
        <v>60060.265699983574</v>
      </c>
      <c r="H93" t="s">
        <v>13</v>
      </c>
      <c r="I93">
        <v>2310440</v>
      </c>
      <c r="J93">
        <v>11955</v>
      </c>
      <c r="K93">
        <v>817</v>
      </c>
      <c r="L93">
        <v>5055</v>
      </c>
      <c r="M93" t="s">
        <v>14</v>
      </c>
    </row>
    <row r="94" spans="1:13" x14ac:dyDescent="0.25">
      <c r="A94">
        <v>5</v>
      </c>
      <c r="B94">
        <v>6</v>
      </c>
      <c r="C94">
        <v>1</v>
      </c>
      <c r="D94">
        <v>367</v>
      </c>
      <c r="E94">
        <v>76</v>
      </c>
      <c r="F94">
        <v>238</v>
      </c>
      <c r="G94">
        <v>198.03560001309961</v>
      </c>
      <c r="H94" t="s">
        <v>13</v>
      </c>
      <c r="I94">
        <v>4847</v>
      </c>
      <c r="J94">
        <v>24</v>
      </c>
      <c r="K94">
        <v>4</v>
      </c>
      <c r="L94">
        <v>5061</v>
      </c>
      <c r="M94" t="s">
        <v>14</v>
      </c>
    </row>
    <row r="95" spans="1:13" x14ac:dyDescent="0.25">
      <c r="A95">
        <v>5</v>
      </c>
      <c r="B95">
        <v>6</v>
      </c>
      <c r="C95">
        <v>2</v>
      </c>
      <c r="F95">
        <v>274</v>
      </c>
      <c r="H95" t="s">
        <v>15</v>
      </c>
      <c r="L95">
        <v>5062</v>
      </c>
      <c r="M95" t="s">
        <v>40</v>
      </c>
    </row>
    <row r="96" spans="1:13" x14ac:dyDescent="0.25">
      <c r="A96">
        <v>5</v>
      </c>
      <c r="B96">
        <v>6</v>
      </c>
      <c r="C96">
        <v>3</v>
      </c>
      <c r="D96">
        <v>484</v>
      </c>
      <c r="E96">
        <v>99</v>
      </c>
      <c r="F96">
        <v>355</v>
      </c>
      <c r="G96">
        <v>1066.4183000044432</v>
      </c>
      <c r="H96" t="s">
        <v>13</v>
      </c>
      <c r="I96">
        <v>30098</v>
      </c>
      <c r="J96">
        <v>200</v>
      </c>
      <c r="K96">
        <v>18</v>
      </c>
      <c r="L96">
        <v>5063</v>
      </c>
      <c r="M96" t="s">
        <v>14</v>
      </c>
    </row>
    <row r="97" spans="1:13" x14ac:dyDescent="0.25">
      <c r="A97">
        <v>5</v>
      </c>
      <c r="B97">
        <v>6</v>
      </c>
      <c r="C97">
        <v>5</v>
      </c>
      <c r="D97">
        <v>628</v>
      </c>
      <c r="E97">
        <v>119</v>
      </c>
      <c r="F97">
        <v>439</v>
      </c>
      <c r="G97">
        <v>10184.899599989876</v>
      </c>
      <c r="H97" t="s">
        <v>13</v>
      </c>
      <c r="I97">
        <v>556793</v>
      </c>
      <c r="J97">
        <v>2489</v>
      </c>
      <c r="K97">
        <v>120</v>
      </c>
      <c r="L97">
        <v>5065</v>
      </c>
      <c r="M97" t="s">
        <v>14</v>
      </c>
    </row>
    <row r="98" spans="1:13" x14ac:dyDescent="0.25">
      <c r="A98">
        <v>5</v>
      </c>
      <c r="B98">
        <v>8</v>
      </c>
      <c r="C98">
        <v>1</v>
      </c>
      <c r="D98">
        <v>522</v>
      </c>
      <c r="E98">
        <v>84</v>
      </c>
      <c r="F98">
        <v>262</v>
      </c>
      <c r="G98">
        <v>373.88060000375845</v>
      </c>
      <c r="H98" t="s">
        <v>13</v>
      </c>
      <c r="I98">
        <v>6711</v>
      </c>
      <c r="J98">
        <v>40</v>
      </c>
      <c r="K98">
        <v>7</v>
      </c>
      <c r="L98">
        <v>5081</v>
      </c>
      <c r="M98" t="s">
        <v>14</v>
      </c>
    </row>
    <row r="99" spans="1:13" x14ac:dyDescent="0.25">
      <c r="A99">
        <v>5</v>
      </c>
      <c r="B99">
        <v>8</v>
      </c>
      <c r="C99">
        <v>2</v>
      </c>
      <c r="D99">
        <v>590</v>
      </c>
      <c r="E99">
        <v>101</v>
      </c>
      <c r="F99">
        <v>313</v>
      </c>
      <c r="G99">
        <v>353.38559999945574</v>
      </c>
      <c r="H99" t="s">
        <v>13</v>
      </c>
      <c r="I99">
        <v>10218</v>
      </c>
      <c r="J99">
        <v>50</v>
      </c>
      <c r="K99">
        <v>5</v>
      </c>
      <c r="L99">
        <v>5082</v>
      </c>
      <c r="M99" t="s">
        <v>14</v>
      </c>
    </row>
    <row r="100" spans="1:13" x14ac:dyDescent="0.25">
      <c r="A100">
        <v>5</v>
      </c>
      <c r="B100">
        <v>8</v>
      </c>
      <c r="C100">
        <v>3</v>
      </c>
      <c r="F100">
        <v>322</v>
      </c>
      <c r="H100" t="s">
        <v>15</v>
      </c>
      <c r="L100">
        <v>5083</v>
      </c>
      <c r="M100" t="s">
        <v>40</v>
      </c>
    </row>
    <row r="101" spans="1:13" x14ac:dyDescent="0.25">
      <c r="A101">
        <v>5</v>
      </c>
      <c r="B101">
        <v>8</v>
      </c>
      <c r="C101">
        <v>5</v>
      </c>
      <c r="D101">
        <v>776</v>
      </c>
      <c r="E101">
        <v>117</v>
      </c>
      <c r="F101">
        <v>511</v>
      </c>
      <c r="G101">
        <v>51573.119599983329</v>
      </c>
      <c r="H101" t="s">
        <v>13</v>
      </c>
      <c r="I101">
        <v>1735733</v>
      </c>
      <c r="J101">
        <v>8344</v>
      </c>
      <c r="K101">
        <v>593</v>
      </c>
      <c r="L101">
        <v>5085</v>
      </c>
      <c r="M101" t="s">
        <v>14</v>
      </c>
    </row>
    <row r="102" spans="1:13" x14ac:dyDescent="0.25">
      <c r="A102">
        <v>6</v>
      </c>
      <c r="B102">
        <v>2</v>
      </c>
      <c r="C102">
        <v>1</v>
      </c>
      <c r="D102">
        <v>84</v>
      </c>
      <c r="E102">
        <v>57</v>
      </c>
      <c r="F102">
        <v>181</v>
      </c>
      <c r="G102">
        <v>25.37689998280257</v>
      </c>
      <c r="H102" t="s">
        <v>13</v>
      </c>
      <c r="I102">
        <v>489</v>
      </c>
      <c r="J102">
        <v>4</v>
      </c>
      <c r="K102">
        <v>1</v>
      </c>
      <c r="L102">
        <v>6021</v>
      </c>
      <c r="M102" t="s">
        <v>14</v>
      </c>
    </row>
    <row r="103" spans="1:13" x14ac:dyDescent="0.25">
      <c r="A103">
        <v>6</v>
      </c>
      <c r="B103">
        <v>2</v>
      </c>
      <c r="C103">
        <v>2</v>
      </c>
      <c r="D103">
        <v>147</v>
      </c>
      <c r="E103">
        <v>82</v>
      </c>
      <c r="F103">
        <v>205</v>
      </c>
      <c r="G103">
        <v>29.838299989933148</v>
      </c>
      <c r="H103" t="s">
        <v>13</v>
      </c>
      <c r="I103">
        <v>715</v>
      </c>
      <c r="J103">
        <v>6</v>
      </c>
      <c r="K103">
        <v>1</v>
      </c>
      <c r="L103">
        <v>6022</v>
      </c>
      <c r="M103" t="s">
        <v>14</v>
      </c>
    </row>
    <row r="104" spans="1:13" x14ac:dyDescent="0.25">
      <c r="A104">
        <v>6</v>
      </c>
      <c r="B104">
        <v>2</v>
      </c>
      <c r="C104">
        <v>3</v>
      </c>
      <c r="D104">
        <v>190</v>
      </c>
      <c r="E104">
        <v>108</v>
      </c>
      <c r="F104">
        <v>358</v>
      </c>
      <c r="G104">
        <v>160.04759998759255</v>
      </c>
      <c r="H104" t="s">
        <v>13</v>
      </c>
      <c r="I104">
        <v>5155</v>
      </c>
      <c r="J104">
        <v>27</v>
      </c>
      <c r="K104">
        <v>3</v>
      </c>
      <c r="L104">
        <v>6023</v>
      </c>
      <c r="M104" t="s">
        <v>14</v>
      </c>
    </row>
    <row r="105" spans="1:13" x14ac:dyDescent="0.25">
      <c r="A105">
        <v>6</v>
      </c>
      <c r="B105">
        <v>2</v>
      </c>
      <c r="C105">
        <v>5</v>
      </c>
      <c r="D105">
        <v>196</v>
      </c>
      <c r="E105">
        <v>104</v>
      </c>
      <c r="F105">
        <v>448</v>
      </c>
      <c r="G105">
        <v>74.977699987357482</v>
      </c>
      <c r="H105" t="s">
        <v>13</v>
      </c>
      <c r="I105">
        <v>3183</v>
      </c>
      <c r="J105">
        <v>17</v>
      </c>
      <c r="K105">
        <v>1</v>
      </c>
      <c r="L105">
        <v>6025</v>
      </c>
      <c r="M105" t="s">
        <v>14</v>
      </c>
    </row>
    <row r="106" spans="1:13" x14ac:dyDescent="0.25">
      <c r="A106">
        <v>6</v>
      </c>
      <c r="B106">
        <v>4</v>
      </c>
      <c r="C106">
        <v>1</v>
      </c>
      <c r="D106">
        <v>270</v>
      </c>
      <c r="E106">
        <v>81</v>
      </c>
      <c r="F106">
        <v>253</v>
      </c>
      <c r="G106">
        <v>104.70890000578947</v>
      </c>
      <c r="H106" t="s">
        <v>13</v>
      </c>
      <c r="I106">
        <v>2565</v>
      </c>
      <c r="J106">
        <v>12</v>
      </c>
      <c r="K106">
        <v>2</v>
      </c>
      <c r="L106">
        <v>6041</v>
      </c>
      <c r="M106" t="s">
        <v>14</v>
      </c>
    </row>
    <row r="107" spans="1:13" x14ac:dyDescent="0.25">
      <c r="A107">
        <v>6</v>
      </c>
      <c r="B107">
        <v>4</v>
      </c>
      <c r="C107">
        <v>2</v>
      </c>
      <c r="D107">
        <v>309</v>
      </c>
      <c r="E107">
        <v>83</v>
      </c>
      <c r="F107">
        <v>259</v>
      </c>
      <c r="G107">
        <v>75.839400000404567</v>
      </c>
      <c r="H107" t="s">
        <v>13</v>
      </c>
      <c r="I107">
        <v>2321</v>
      </c>
      <c r="J107">
        <v>12</v>
      </c>
      <c r="K107">
        <v>1</v>
      </c>
      <c r="L107">
        <v>6042</v>
      </c>
      <c r="M107" t="s">
        <v>14</v>
      </c>
    </row>
    <row r="108" spans="1:13" x14ac:dyDescent="0.25">
      <c r="A108">
        <v>6</v>
      </c>
      <c r="B108">
        <v>4</v>
      </c>
      <c r="C108">
        <v>3</v>
      </c>
      <c r="D108">
        <v>317</v>
      </c>
      <c r="E108">
        <v>94</v>
      </c>
      <c r="F108">
        <v>349</v>
      </c>
      <c r="G108">
        <v>193.45099999918602</v>
      </c>
      <c r="H108" t="s">
        <v>13</v>
      </c>
      <c r="I108">
        <v>5218</v>
      </c>
      <c r="J108">
        <v>34</v>
      </c>
      <c r="K108">
        <v>3</v>
      </c>
      <c r="L108">
        <v>6043</v>
      </c>
      <c r="M108" t="s">
        <v>14</v>
      </c>
    </row>
    <row r="109" spans="1:13" x14ac:dyDescent="0.25">
      <c r="A109">
        <v>6</v>
      </c>
      <c r="B109">
        <v>4</v>
      </c>
      <c r="C109">
        <v>5</v>
      </c>
      <c r="D109">
        <v>403</v>
      </c>
      <c r="E109">
        <v>126</v>
      </c>
      <c r="F109">
        <v>388</v>
      </c>
      <c r="G109">
        <v>187.31070001376793</v>
      </c>
      <c r="H109" t="s">
        <v>13</v>
      </c>
      <c r="I109">
        <v>8036</v>
      </c>
      <c r="J109">
        <v>45</v>
      </c>
      <c r="K109">
        <v>2</v>
      </c>
      <c r="L109">
        <v>6045</v>
      </c>
      <c r="M109" t="s">
        <v>14</v>
      </c>
    </row>
    <row r="110" spans="1:13" x14ac:dyDescent="0.25">
      <c r="A110">
        <v>6</v>
      </c>
      <c r="B110">
        <v>5</v>
      </c>
      <c r="C110">
        <v>1</v>
      </c>
      <c r="D110">
        <v>234</v>
      </c>
      <c r="E110">
        <v>67</v>
      </c>
      <c r="F110">
        <v>211</v>
      </c>
      <c r="G110">
        <v>179.8523000034038</v>
      </c>
      <c r="H110" t="s">
        <v>13</v>
      </c>
      <c r="I110">
        <v>3057</v>
      </c>
      <c r="J110">
        <v>26</v>
      </c>
      <c r="K110">
        <v>5</v>
      </c>
      <c r="L110">
        <v>6051</v>
      </c>
      <c r="M110" t="s">
        <v>14</v>
      </c>
    </row>
    <row r="111" spans="1:13" x14ac:dyDescent="0.25">
      <c r="A111">
        <v>6</v>
      </c>
      <c r="B111">
        <v>5</v>
      </c>
      <c r="C111">
        <v>2</v>
      </c>
      <c r="D111">
        <v>348</v>
      </c>
      <c r="E111">
        <v>82</v>
      </c>
      <c r="F111">
        <v>262</v>
      </c>
      <c r="G111">
        <v>162.66599998925813</v>
      </c>
      <c r="H111" t="s">
        <v>13</v>
      </c>
      <c r="I111">
        <v>4169</v>
      </c>
      <c r="J111">
        <v>27</v>
      </c>
      <c r="K111">
        <v>3</v>
      </c>
      <c r="L111">
        <v>6052</v>
      </c>
      <c r="M111" t="s">
        <v>14</v>
      </c>
    </row>
    <row r="112" spans="1:13" x14ac:dyDescent="0.25">
      <c r="A112">
        <v>6</v>
      </c>
      <c r="B112">
        <v>5</v>
      </c>
      <c r="C112">
        <v>3</v>
      </c>
      <c r="D112">
        <v>423</v>
      </c>
      <c r="E112">
        <v>105</v>
      </c>
      <c r="F112">
        <v>361</v>
      </c>
      <c r="G112">
        <v>90226.127200003248</v>
      </c>
      <c r="H112" t="s">
        <v>13</v>
      </c>
      <c r="I112">
        <v>2956586</v>
      </c>
      <c r="J112">
        <v>14005</v>
      </c>
      <c r="K112">
        <v>1626</v>
      </c>
      <c r="L112">
        <v>6053</v>
      </c>
      <c r="M112" t="s">
        <v>14</v>
      </c>
    </row>
    <row r="113" spans="1:13" x14ac:dyDescent="0.25">
      <c r="A113">
        <v>6</v>
      </c>
      <c r="B113">
        <v>5</v>
      </c>
      <c r="C113">
        <v>5</v>
      </c>
      <c r="D113">
        <v>522</v>
      </c>
      <c r="E113">
        <v>120</v>
      </c>
      <c r="F113">
        <v>412</v>
      </c>
      <c r="G113">
        <v>6093.7761999957729</v>
      </c>
      <c r="H113" t="s">
        <v>13</v>
      </c>
      <c r="I113">
        <v>277148</v>
      </c>
      <c r="J113">
        <v>1420</v>
      </c>
      <c r="K113">
        <v>85</v>
      </c>
      <c r="L113">
        <v>6055</v>
      </c>
      <c r="M113" t="s">
        <v>14</v>
      </c>
    </row>
    <row r="114" spans="1:13" x14ac:dyDescent="0.25">
      <c r="A114">
        <v>6</v>
      </c>
      <c r="B114">
        <v>6</v>
      </c>
      <c r="C114">
        <v>1</v>
      </c>
      <c r="D114">
        <v>289</v>
      </c>
      <c r="E114">
        <v>64</v>
      </c>
      <c r="F114">
        <v>202</v>
      </c>
      <c r="G114">
        <v>164.29149999748915</v>
      </c>
      <c r="H114" t="s">
        <v>13</v>
      </c>
      <c r="I114">
        <v>3601</v>
      </c>
      <c r="J114">
        <v>24</v>
      </c>
      <c r="K114">
        <v>4</v>
      </c>
      <c r="L114">
        <v>6061</v>
      </c>
      <c r="M114" t="s">
        <v>14</v>
      </c>
    </row>
    <row r="115" spans="1:13" x14ac:dyDescent="0.25">
      <c r="A115">
        <v>6</v>
      </c>
      <c r="B115">
        <v>6</v>
      </c>
      <c r="C115">
        <v>2</v>
      </c>
      <c r="D115">
        <v>426</v>
      </c>
      <c r="E115">
        <v>82</v>
      </c>
      <c r="F115">
        <v>310</v>
      </c>
      <c r="G115">
        <v>354.0999999968335</v>
      </c>
      <c r="H115" t="s">
        <v>13</v>
      </c>
      <c r="I115">
        <v>8411</v>
      </c>
      <c r="J115">
        <v>46</v>
      </c>
      <c r="K115">
        <v>5</v>
      </c>
      <c r="L115">
        <v>6062</v>
      </c>
      <c r="M115" t="s">
        <v>14</v>
      </c>
    </row>
    <row r="116" spans="1:13" x14ac:dyDescent="0.25">
      <c r="A116">
        <v>6</v>
      </c>
      <c r="B116">
        <v>6</v>
      </c>
      <c r="C116">
        <v>3</v>
      </c>
      <c r="D116">
        <v>536</v>
      </c>
      <c r="E116">
        <v>106</v>
      </c>
      <c r="F116">
        <v>421</v>
      </c>
      <c r="G116">
        <v>23113.682600000175</v>
      </c>
      <c r="H116" t="s">
        <v>13</v>
      </c>
      <c r="I116">
        <v>523925</v>
      </c>
      <c r="J116">
        <v>2802</v>
      </c>
      <c r="K116">
        <v>348</v>
      </c>
      <c r="L116">
        <v>6063</v>
      </c>
      <c r="M116" t="s">
        <v>14</v>
      </c>
    </row>
    <row r="117" spans="1:13" x14ac:dyDescent="0.25">
      <c r="A117">
        <v>6</v>
      </c>
      <c r="B117">
        <v>6</v>
      </c>
      <c r="C117">
        <v>5</v>
      </c>
      <c r="F117">
        <v>604</v>
      </c>
      <c r="H117" t="s">
        <v>15</v>
      </c>
      <c r="L117">
        <v>6065</v>
      </c>
      <c r="M117" t="s">
        <v>40</v>
      </c>
    </row>
    <row r="118" spans="1:13" x14ac:dyDescent="0.25">
      <c r="A118">
        <v>6</v>
      </c>
      <c r="B118">
        <v>8</v>
      </c>
      <c r="C118">
        <v>1</v>
      </c>
      <c r="D118">
        <v>580</v>
      </c>
      <c r="E118">
        <v>97</v>
      </c>
      <c r="F118">
        <v>301</v>
      </c>
      <c r="G118">
        <v>337.84970000851899</v>
      </c>
      <c r="H118" t="s">
        <v>13</v>
      </c>
      <c r="I118">
        <v>8724</v>
      </c>
      <c r="J118">
        <v>32</v>
      </c>
      <c r="K118">
        <v>5</v>
      </c>
      <c r="L118">
        <v>6081</v>
      </c>
      <c r="M118" t="s">
        <v>14</v>
      </c>
    </row>
    <row r="119" spans="1:13" x14ac:dyDescent="0.25">
      <c r="A119">
        <v>6</v>
      </c>
      <c r="B119">
        <v>8</v>
      </c>
      <c r="C119">
        <v>2</v>
      </c>
      <c r="F119">
        <v>322</v>
      </c>
      <c r="H119" t="s">
        <v>15</v>
      </c>
      <c r="L119">
        <v>6082</v>
      </c>
      <c r="M119" t="s">
        <v>40</v>
      </c>
    </row>
    <row r="120" spans="1:13" x14ac:dyDescent="0.25">
      <c r="A120">
        <v>6</v>
      </c>
      <c r="B120">
        <v>8</v>
      </c>
      <c r="C120">
        <v>3</v>
      </c>
      <c r="D120">
        <v>662</v>
      </c>
      <c r="E120">
        <v>94</v>
      </c>
      <c r="F120">
        <v>361</v>
      </c>
      <c r="G120">
        <v>2793.6650000046939</v>
      </c>
      <c r="H120" t="s">
        <v>13</v>
      </c>
      <c r="I120">
        <v>88775</v>
      </c>
      <c r="J120">
        <v>427</v>
      </c>
      <c r="K120">
        <v>49</v>
      </c>
      <c r="L120">
        <v>6083</v>
      </c>
      <c r="M120" t="s">
        <v>14</v>
      </c>
    </row>
    <row r="121" spans="1:13" x14ac:dyDescent="0.25">
      <c r="A121">
        <v>6</v>
      </c>
      <c r="B121">
        <v>8</v>
      </c>
      <c r="C121">
        <v>5</v>
      </c>
      <c r="D121">
        <v>740</v>
      </c>
      <c r="E121">
        <v>110</v>
      </c>
      <c r="F121">
        <v>433</v>
      </c>
      <c r="G121">
        <v>107128.89930000529</v>
      </c>
      <c r="H121" t="s">
        <v>13</v>
      </c>
      <c r="I121">
        <v>13072946</v>
      </c>
      <c r="J121">
        <v>3261</v>
      </c>
      <c r="K121">
        <v>206</v>
      </c>
      <c r="L121">
        <v>6085</v>
      </c>
      <c r="M121" t="s">
        <v>14</v>
      </c>
    </row>
    <row r="122" spans="1:13" x14ac:dyDescent="0.25">
      <c r="A122">
        <v>7</v>
      </c>
      <c r="B122">
        <v>2</v>
      </c>
      <c r="C122">
        <v>1</v>
      </c>
      <c r="D122">
        <v>118</v>
      </c>
      <c r="E122">
        <v>72</v>
      </c>
      <c r="F122">
        <v>226</v>
      </c>
      <c r="G122">
        <v>34.257400024216622</v>
      </c>
      <c r="H122" t="s">
        <v>13</v>
      </c>
      <c r="I122">
        <v>557</v>
      </c>
      <c r="J122">
        <v>4</v>
      </c>
      <c r="K122">
        <v>1</v>
      </c>
      <c r="L122">
        <v>7021</v>
      </c>
      <c r="M122" t="s">
        <v>14</v>
      </c>
    </row>
    <row r="123" spans="1:13" x14ac:dyDescent="0.25">
      <c r="A123">
        <v>7</v>
      </c>
      <c r="B123">
        <v>2</v>
      </c>
      <c r="C123">
        <v>2</v>
      </c>
      <c r="D123">
        <v>143</v>
      </c>
      <c r="E123">
        <v>95</v>
      </c>
      <c r="F123">
        <v>313</v>
      </c>
      <c r="G123">
        <v>67.710600007558241</v>
      </c>
      <c r="H123" t="s">
        <v>13</v>
      </c>
      <c r="I123">
        <v>1046</v>
      </c>
      <c r="J123">
        <v>6</v>
      </c>
      <c r="K123">
        <v>1</v>
      </c>
      <c r="L123">
        <v>7022</v>
      </c>
      <c r="M123" t="s">
        <v>14</v>
      </c>
    </row>
    <row r="124" spans="1:13" x14ac:dyDescent="0.25">
      <c r="A124">
        <v>7</v>
      </c>
      <c r="B124">
        <v>2</v>
      </c>
      <c r="C124">
        <v>3</v>
      </c>
      <c r="D124">
        <v>162</v>
      </c>
      <c r="E124">
        <v>101</v>
      </c>
      <c r="F124">
        <v>385</v>
      </c>
      <c r="G124">
        <v>80.757200019434094</v>
      </c>
      <c r="H124" t="s">
        <v>13</v>
      </c>
      <c r="I124">
        <v>1587</v>
      </c>
      <c r="J124">
        <v>8</v>
      </c>
      <c r="K124">
        <v>1</v>
      </c>
      <c r="L124">
        <v>7023</v>
      </c>
      <c r="M124" t="s">
        <v>14</v>
      </c>
    </row>
    <row r="125" spans="1:13" x14ac:dyDescent="0.25">
      <c r="A125">
        <v>7</v>
      </c>
      <c r="B125">
        <v>2</v>
      </c>
      <c r="C125">
        <v>5</v>
      </c>
      <c r="D125">
        <v>219</v>
      </c>
      <c r="E125">
        <v>116</v>
      </c>
      <c r="F125">
        <v>409</v>
      </c>
      <c r="G125">
        <v>11873.012199997902</v>
      </c>
      <c r="H125" t="s">
        <v>13</v>
      </c>
      <c r="I125">
        <v>1158169</v>
      </c>
      <c r="J125">
        <v>855</v>
      </c>
      <c r="K125">
        <v>59</v>
      </c>
      <c r="L125">
        <v>7025</v>
      </c>
      <c r="M125" t="s">
        <v>14</v>
      </c>
    </row>
    <row r="126" spans="1:13" x14ac:dyDescent="0.25">
      <c r="A126">
        <v>7</v>
      </c>
      <c r="B126">
        <v>4</v>
      </c>
      <c r="C126">
        <v>1</v>
      </c>
      <c r="D126">
        <v>165</v>
      </c>
      <c r="E126">
        <v>73</v>
      </c>
      <c r="F126">
        <v>229</v>
      </c>
      <c r="G126">
        <v>126.73119999817573</v>
      </c>
      <c r="H126" t="s">
        <v>13</v>
      </c>
      <c r="I126">
        <v>2125</v>
      </c>
      <c r="J126">
        <v>16</v>
      </c>
      <c r="K126">
        <v>3</v>
      </c>
      <c r="L126">
        <v>7041</v>
      </c>
      <c r="M126" t="s">
        <v>14</v>
      </c>
    </row>
    <row r="127" spans="1:13" x14ac:dyDescent="0.25">
      <c r="A127">
        <v>7</v>
      </c>
      <c r="B127">
        <v>4</v>
      </c>
      <c r="C127">
        <v>2</v>
      </c>
      <c r="D127">
        <v>283</v>
      </c>
      <c r="E127">
        <v>93</v>
      </c>
      <c r="F127">
        <v>295</v>
      </c>
      <c r="G127">
        <v>218.93130001262762</v>
      </c>
      <c r="H127" t="s">
        <v>13</v>
      </c>
      <c r="I127">
        <v>5203</v>
      </c>
      <c r="J127">
        <v>30</v>
      </c>
      <c r="K127">
        <v>4</v>
      </c>
      <c r="L127">
        <v>7042</v>
      </c>
      <c r="M127" t="s">
        <v>14</v>
      </c>
    </row>
    <row r="128" spans="1:13" x14ac:dyDescent="0.25">
      <c r="A128">
        <v>7</v>
      </c>
      <c r="B128">
        <v>4</v>
      </c>
      <c r="C128">
        <v>3</v>
      </c>
      <c r="D128">
        <v>277</v>
      </c>
      <c r="E128">
        <v>75</v>
      </c>
      <c r="F128">
        <v>271</v>
      </c>
      <c r="G128">
        <v>79.535600001690909</v>
      </c>
      <c r="H128" t="s">
        <v>13</v>
      </c>
      <c r="I128">
        <v>2171</v>
      </c>
      <c r="J128">
        <v>16</v>
      </c>
      <c r="K128">
        <v>1</v>
      </c>
      <c r="L128">
        <v>7043</v>
      </c>
      <c r="M128" t="s">
        <v>14</v>
      </c>
    </row>
    <row r="129" spans="1:13" x14ac:dyDescent="0.25">
      <c r="A129">
        <v>7</v>
      </c>
      <c r="B129">
        <v>4</v>
      </c>
      <c r="C129">
        <v>5</v>
      </c>
      <c r="D129">
        <v>457</v>
      </c>
      <c r="E129">
        <v>132</v>
      </c>
      <c r="F129">
        <v>460</v>
      </c>
      <c r="G129">
        <v>1212.1221999987029</v>
      </c>
      <c r="H129" t="s">
        <v>13</v>
      </c>
      <c r="I129">
        <v>49207</v>
      </c>
      <c r="J129">
        <v>259</v>
      </c>
      <c r="K129">
        <v>14</v>
      </c>
      <c r="L129">
        <v>7045</v>
      </c>
      <c r="M129" t="s">
        <v>14</v>
      </c>
    </row>
    <row r="130" spans="1:13" x14ac:dyDescent="0.25">
      <c r="A130">
        <v>7</v>
      </c>
      <c r="B130">
        <v>5</v>
      </c>
      <c r="C130">
        <v>1</v>
      </c>
      <c r="D130">
        <v>304</v>
      </c>
      <c r="E130">
        <v>79</v>
      </c>
      <c r="F130">
        <v>247</v>
      </c>
      <c r="G130">
        <v>92.153800011146814</v>
      </c>
      <c r="H130" t="s">
        <v>13</v>
      </c>
      <c r="I130">
        <v>1798</v>
      </c>
      <c r="J130">
        <v>10</v>
      </c>
      <c r="K130">
        <v>1</v>
      </c>
      <c r="L130">
        <v>7051</v>
      </c>
      <c r="M130" t="s">
        <v>14</v>
      </c>
    </row>
    <row r="131" spans="1:13" x14ac:dyDescent="0.25">
      <c r="A131">
        <v>7</v>
      </c>
      <c r="B131">
        <v>5</v>
      </c>
      <c r="C131">
        <v>2</v>
      </c>
      <c r="D131">
        <v>371</v>
      </c>
      <c r="E131">
        <v>93</v>
      </c>
      <c r="F131">
        <v>289</v>
      </c>
      <c r="G131">
        <v>755.69890000042506</v>
      </c>
      <c r="H131" t="s">
        <v>13</v>
      </c>
      <c r="I131">
        <v>19142</v>
      </c>
      <c r="J131">
        <v>99</v>
      </c>
      <c r="K131">
        <v>15</v>
      </c>
      <c r="L131">
        <v>7052</v>
      </c>
      <c r="M131" t="s">
        <v>14</v>
      </c>
    </row>
    <row r="132" spans="1:13" x14ac:dyDescent="0.25">
      <c r="A132">
        <v>7</v>
      </c>
      <c r="B132">
        <v>5</v>
      </c>
      <c r="C132">
        <v>3</v>
      </c>
      <c r="D132">
        <v>398</v>
      </c>
      <c r="E132">
        <v>101</v>
      </c>
      <c r="F132">
        <v>349</v>
      </c>
      <c r="G132">
        <v>386.72730000689626</v>
      </c>
      <c r="H132" t="s">
        <v>13</v>
      </c>
      <c r="I132">
        <v>10896</v>
      </c>
      <c r="J132">
        <v>60</v>
      </c>
      <c r="K132">
        <v>6</v>
      </c>
      <c r="L132">
        <v>7053</v>
      </c>
      <c r="M132" t="s">
        <v>14</v>
      </c>
    </row>
    <row r="133" spans="1:13" x14ac:dyDescent="0.25">
      <c r="A133">
        <v>7</v>
      </c>
      <c r="B133">
        <v>5</v>
      </c>
      <c r="C133">
        <v>5</v>
      </c>
      <c r="D133">
        <v>495</v>
      </c>
      <c r="E133">
        <v>119</v>
      </c>
      <c r="F133">
        <v>514</v>
      </c>
      <c r="G133">
        <v>3249.377900006948</v>
      </c>
      <c r="H133" t="s">
        <v>13</v>
      </c>
      <c r="I133">
        <v>141357</v>
      </c>
      <c r="J133">
        <v>856</v>
      </c>
      <c r="K133">
        <v>34</v>
      </c>
      <c r="L133">
        <v>7055</v>
      </c>
      <c r="M133" t="s">
        <v>14</v>
      </c>
    </row>
    <row r="134" spans="1:13" x14ac:dyDescent="0.25">
      <c r="A134">
        <v>7</v>
      </c>
      <c r="B134">
        <v>6</v>
      </c>
      <c r="C134">
        <v>1</v>
      </c>
      <c r="D134">
        <v>356</v>
      </c>
      <c r="E134">
        <v>88</v>
      </c>
      <c r="F134">
        <v>274</v>
      </c>
      <c r="G134">
        <v>115.25859998073429</v>
      </c>
      <c r="H134" t="s">
        <v>13</v>
      </c>
      <c r="I134">
        <v>2348</v>
      </c>
      <c r="J134">
        <v>12</v>
      </c>
      <c r="K134">
        <v>1</v>
      </c>
      <c r="L134">
        <v>7061</v>
      </c>
      <c r="M134" t="s">
        <v>14</v>
      </c>
    </row>
    <row r="135" spans="1:13" x14ac:dyDescent="0.25">
      <c r="A135">
        <v>7</v>
      </c>
      <c r="B135">
        <v>6</v>
      </c>
      <c r="C135">
        <v>2</v>
      </c>
      <c r="D135">
        <v>479</v>
      </c>
      <c r="E135">
        <v>102</v>
      </c>
      <c r="F135">
        <v>316</v>
      </c>
      <c r="G135">
        <v>2089.2408000072464</v>
      </c>
      <c r="H135" t="s">
        <v>13</v>
      </c>
      <c r="I135">
        <v>55343</v>
      </c>
      <c r="J135">
        <v>278</v>
      </c>
      <c r="K135">
        <v>44</v>
      </c>
      <c r="L135">
        <v>7062</v>
      </c>
      <c r="M135" t="s">
        <v>14</v>
      </c>
    </row>
    <row r="136" spans="1:13" x14ac:dyDescent="0.25">
      <c r="A136">
        <v>7</v>
      </c>
      <c r="B136">
        <v>6</v>
      </c>
      <c r="C136">
        <v>3</v>
      </c>
      <c r="D136">
        <v>438</v>
      </c>
      <c r="E136">
        <v>99</v>
      </c>
      <c r="F136">
        <v>367</v>
      </c>
      <c r="G136">
        <v>537.34219999751076</v>
      </c>
      <c r="H136" t="s">
        <v>13</v>
      </c>
      <c r="I136">
        <v>14940</v>
      </c>
      <c r="J136">
        <v>91</v>
      </c>
      <c r="K136">
        <v>8</v>
      </c>
      <c r="L136">
        <v>7063</v>
      </c>
      <c r="M136" t="s">
        <v>14</v>
      </c>
    </row>
    <row r="137" spans="1:13" x14ac:dyDescent="0.25">
      <c r="A137">
        <v>7</v>
      </c>
      <c r="B137">
        <v>6</v>
      </c>
      <c r="C137">
        <v>5</v>
      </c>
      <c r="F137">
        <v>403</v>
      </c>
      <c r="H137" t="s">
        <v>15</v>
      </c>
      <c r="L137">
        <v>7065</v>
      </c>
      <c r="M137" t="s">
        <v>40</v>
      </c>
    </row>
    <row r="138" spans="1:13" x14ac:dyDescent="0.25">
      <c r="A138">
        <v>7</v>
      </c>
      <c r="B138">
        <v>8</v>
      </c>
      <c r="C138">
        <v>1</v>
      </c>
      <c r="D138">
        <v>449</v>
      </c>
      <c r="E138">
        <v>85</v>
      </c>
      <c r="F138">
        <v>253</v>
      </c>
      <c r="G138">
        <v>19941.983800003072</v>
      </c>
      <c r="H138" t="s">
        <v>13</v>
      </c>
      <c r="I138">
        <v>484802</v>
      </c>
      <c r="J138">
        <v>2372</v>
      </c>
      <c r="K138">
        <v>590</v>
      </c>
      <c r="L138">
        <v>7081</v>
      </c>
      <c r="M138" t="s">
        <v>14</v>
      </c>
    </row>
    <row r="139" spans="1:13" x14ac:dyDescent="0.25">
      <c r="A139">
        <v>7</v>
      </c>
      <c r="B139">
        <v>8</v>
      </c>
      <c r="C139">
        <v>2</v>
      </c>
      <c r="D139">
        <v>678</v>
      </c>
      <c r="E139">
        <v>105</v>
      </c>
      <c r="F139">
        <v>319</v>
      </c>
      <c r="G139">
        <v>5607.0595000055619</v>
      </c>
      <c r="H139" t="s">
        <v>13</v>
      </c>
      <c r="I139">
        <v>157665</v>
      </c>
      <c r="J139">
        <v>755</v>
      </c>
      <c r="K139">
        <v>119</v>
      </c>
      <c r="L139">
        <v>7082</v>
      </c>
      <c r="M139" t="s">
        <v>14</v>
      </c>
    </row>
    <row r="140" spans="1:13" x14ac:dyDescent="0.25">
      <c r="A140">
        <v>7</v>
      </c>
      <c r="B140">
        <v>8</v>
      </c>
      <c r="C140">
        <v>3</v>
      </c>
      <c r="F140">
        <v>337</v>
      </c>
      <c r="H140" t="s">
        <v>15</v>
      </c>
      <c r="L140">
        <v>7083</v>
      </c>
      <c r="M140" t="s">
        <v>40</v>
      </c>
    </row>
    <row r="141" spans="1:13" x14ac:dyDescent="0.25">
      <c r="A141">
        <v>7</v>
      </c>
      <c r="B141">
        <v>8</v>
      </c>
      <c r="C141">
        <v>5</v>
      </c>
      <c r="D141">
        <v>784</v>
      </c>
      <c r="E141">
        <v>110</v>
      </c>
      <c r="F141">
        <v>472</v>
      </c>
      <c r="G141">
        <v>28357.95799997868</v>
      </c>
      <c r="H141" t="s">
        <v>13</v>
      </c>
      <c r="I141">
        <v>3427872</v>
      </c>
      <c r="J141">
        <v>1602</v>
      </c>
      <c r="K141">
        <v>92</v>
      </c>
      <c r="L141">
        <v>7085</v>
      </c>
      <c r="M141" t="s">
        <v>14</v>
      </c>
    </row>
    <row r="142" spans="1:13" x14ac:dyDescent="0.25">
      <c r="A142">
        <v>8</v>
      </c>
      <c r="B142">
        <v>2</v>
      </c>
      <c r="C142">
        <v>1</v>
      </c>
      <c r="D142">
        <v>140</v>
      </c>
      <c r="E142">
        <v>74</v>
      </c>
      <c r="F142">
        <v>232</v>
      </c>
      <c r="G142">
        <v>33.714500023052096</v>
      </c>
      <c r="H142" t="s">
        <v>13</v>
      </c>
      <c r="I142">
        <v>896</v>
      </c>
      <c r="J142">
        <v>4</v>
      </c>
      <c r="K142">
        <v>1</v>
      </c>
      <c r="L142">
        <v>8021</v>
      </c>
      <c r="M142" t="s">
        <v>14</v>
      </c>
    </row>
    <row r="143" spans="1:13" x14ac:dyDescent="0.25">
      <c r="A143">
        <v>8</v>
      </c>
      <c r="B143">
        <v>2</v>
      </c>
      <c r="C143">
        <v>2</v>
      </c>
      <c r="D143">
        <v>109</v>
      </c>
      <c r="E143">
        <v>57</v>
      </c>
      <c r="F143">
        <v>184</v>
      </c>
      <c r="G143">
        <v>28.146299999207262</v>
      </c>
      <c r="H143" t="s">
        <v>13</v>
      </c>
      <c r="I143">
        <v>838</v>
      </c>
      <c r="J143">
        <v>6</v>
      </c>
      <c r="K143">
        <v>1</v>
      </c>
      <c r="L143">
        <v>8022</v>
      </c>
      <c r="M143" t="s">
        <v>14</v>
      </c>
    </row>
    <row r="144" spans="1:13" x14ac:dyDescent="0.25">
      <c r="A144">
        <v>8</v>
      </c>
      <c r="B144">
        <v>2</v>
      </c>
      <c r="C144">
        <v>3</v>
      </c>
      <c r="D144">
        <v>123</v>
      </c>
      <c r="E144">
        <v>65</v>
      </c>
      <c r="F144">
        <v>253</v>
      </c>
      <c r="G144">
        <v>36.036100005730987</v>
      </c>
      <c r="H144" t="s">
        <v>13</v>
      </c>
      <c r="I144">
        <v>931</v>
      </c>
      <c r="J144">
        <v>8</v>
      </c>
      <c r="K144">
        <v>1</v>
      </c>
      <c r="L144">
        <v>8023</v>
      </c>
      <c r="M144" t="s">
        <v>14</v>
      </c>
    </row>
    <row r="145" spans="1:13" x14ac:dyDescent="0.25">
      <c r="A145">
        <v>8</v>
      </c>
      <c r="B145">
        <v>2</v>
      </c>
      <c r="C145">
        <v>5</v>
      </c>
      <c r="D145">
        <v>154</v>
      </c>
      <c r="E145">
        <v>78</v>
      </c>
      <c r="F145">
        <v>406</v>
      </c>
      <c r="G145">
        <v>357.18700001598336</v>
      </c>
      <c r="H145" t="s">
        <v>13</v>
      </c>
      <c r="I145">
        <v>12395</v>
      </c>
      <c r="J145">
        <v>78</v>
      </c>
      <c r="K145">
        <v>6</v>
      </c>
      <c r="L145">
        <v>8025</v>
      </c>
      <c r="M145" t="s">
        <v>14</v>
      </c>
    </row>
    <row r="146" spans="1:13" x14ac:dyDescent="0.25">
      <c r="A146">
        <v>8</v>
      </c>
      <c r="B146">
        <v>4</v>
      </c>
      <c r="C146">
        <v>1</v>
      </c>
      <c r="D146">
        <v>228</v>
      </c>
      <c r="E146">
        <v>85</v>
      </c>
      <c r="F146">
        <v>265</v>
      </c>
      <c r="G146">
        <v>142.97970000188798</v>
      </c>
      <c r="H146" t="s">
        <v>13</v>
      </c>
      <c r="I146">
        <v>3056</v>
      </c>
      <c r="J146">
        <v>16</v>
      </c>
      <c r="K146">
        <v>3</v>
      </c>
      <c r="L146">
        <v>8041</v>
      </c>
      <c r="M146" t="s">
        <v>14</v>
      </c>
    </row>
    <row r="147" spans="1:13" x14ac:dyDescent="0.25">
      <c r="A147">
        <v>8</v>
      </c>
      <c r="B147">
        <v>4</v>
      </c>
      <c r="C147">
        <v>2</v>
      </c>
      <c r="D147">
        <v>271</v>
      </c>
      <c r="E147">
        <v>84</v>
      </c>
      <c r="F147">
        <v>232</v>
      </c>
      <c r="G147">
        <v>97.201399999903515</v>
      </c>
      <c r="H147" t="s">
        <v>13</v>
      </c>
      <c r="I147">
        <v>2665</v>
      </c>
      <c r="J147">
        <v>18</v>
      </c>
      <c r="K147">
        <v>2</v>
      </c>
      <c r="L147">
        <v>8042</v>
      </c>
      <c r="M147" t="s">
        <v>14</v>
      </c>
    </row>
    <row r="148" spans="1:13" x14ac:dyDescent="0.25">
      <c r="A148">
        <v>8</v>
      </c>
      <c r="B148">
        <v>4</v>
      </c>
      <c r="C148">
        <v>3</v>
      </c>
      <c r="D148">
        <v>295</v>
      </c>
      <c r="E148">
        <v>96</v>
      </c>
      <c r="F148">
        <v>334</v>
      </c>
      <c r="G148">
        <v>319.52749998890795</v>
      </c>
      <c r="H148" t="s">
        <v>13</v>
      </c>
      <c r="I148">
        <v>8397</v>
      </c>
      <c r="J148">
        <v>56</v>
      </c>
      <c r="K148">
        <v>6</v>
      </c>
      <c r="L148">
        <v>8043</v>
      </c>
      <c r="M148" t="s">
        <v>14</v>
      </c>
    </row>
    <row r="149" spans="1:13" x14ac:dyDescent="0.25">
      <c r="A149">
        <v>8</v>
      </c>
      <c r="B149">
        <v>4</v>
      </c>
      <c r="C149">
        <v>5</v>
      </c>
      <c r="D149">
        <v>371</v>
      </c>
      <c r="E149">
        <v>101</v>
      </c>
      <c r="F149">
        <v>454</v>
      </c>
      <c r="G149">
        <v>769.16920000803657</v>
      </c>
      <c r="H149" t="s">
        <v>13</v>
      </c>
      <c r="I149">
        <v>30230</v>
      </c>
      <c r="J149">
        <v>144</v>
      </c>
      <c r="K149">
        <v>10</v>
      </c>
      <c r="L149">
        <v>8045</v>
      </c>
      <c r="M149" t="s">
        <v>14</v>
      </c>
    </row>
    <row r="150" spans="1:13" x14ac:dyDescent="0.25">
      <c r="A150">
        <v>8</v>
      </c>
      <c r="B150">
        <v>5</v>
      </c>
      <c r="C150">
        <v>1</v>
      </c>
      <c r="D150">
        <v>272</v>
      </c>
      <c r="E150">
        <v>97</v>
      </c>
      <c r="F150">
        <v>301</v>
      </c>
      <c r="G150">
        <v>137.0941000059247</v>
      </c>
      <c r="H150" t="s">
        <v>13</v>
      </c>
      <c r="I150">
        <v>2942</v>
      </c>
      <c r="J150">
        <v>14</v>
      </c>
      <c r="K150">
        <v>2</v>
      </c>
      <c r="L150">
        <v>8051</v>
      </c>
      <c r="M150" t="s">
        <v>14</v>
      </c>
    </row>
    <row r="151" spans="1:13" x14ac:dyDescent="0.25">
      <c r="A151">
        <v>8</v>
      </c>
      <c r="B151">
        <v>5</v>
      </c>
      <c r="C151">
        <v>2</v>
      </c>
      <c r="D151">
        <v>385</v>
      </c>
      <c r="E151">
        <v>95</v>
      </c>
      <c r="F151">
        <v>295</v>
      </c>
      <c r="G151">
        <v>995.35740001010709</v>
      </c>
      <c r="H151" t="s">
        <v>13</v>
      </c>
      <c r="I151">
        <v>28274</v>
      </c>
      <c r="J151">
        <v>141</v>
      </c>
      <c r="K151">
        <v>22</v>
      </c>
      <c r="L151">
        <v>8052</v>
      </c>
      <c r="M151" t="s">
        <v>14</v>
      </c>
    </row>
    <row r="152" spans="1:13" x14ac:dyDescent="0.25">
      <c r="A152">
        <v>8</v>
      </c>
      <c r="B152">
        <v>5</v>
      </c>
      <c r="C152">
        <v>3</v>
      </c>
      <c r="D152">
        <v>357</v>
      </c>
      <c r="E152">
        <v>82</v>
      </c>
      <c r="F152">
        <v>286</v>
      </c>
      <c r="G152">
        <v>1408.2213999936357</v>
      </c>
      <c r="H152" t="s">
        <v>13</v>
      </c>
      <c r="I152">
        <v>44159</v>
      </c>
      <c r="J152">
        <v>277</v>
      </c>
      <c r="K152">
        <v>33</v>
      </c>
      <c r="L152">
        <v>8053</v>
      </c>
      <c r="M152" t="s">
        <v>14</v>
      </c>
    </row>
    <row r="153" spans="1:13" x14ac:dyDescent="0.25">
      <c r="A153">
        <v>8</v>
      </c>
      <c r="B153">
        <v>5</v>
      </c>
      <c r="C153">
        <v>5</v>
      </c>
      <c r="D153">
        <v>490</v>
      </c>
      <c r="E153">
        <v>107</v>
      </c>
      <c r="F153">
        <v>421</v>
      </c>
      <c r="G153">
        <v>3704.509400005918</v>
      </c>
      <c r="H153" t="s">
        <v>13</v>
      </c>
      <c r="I153">
        <v>321329</v>
      </c>
      <c r="J153">
        <v>739</v>
      </c>
      <c r="K153">
        <v>31</v>
      </c>
      <c r="L153">
        <v>8055</v>
      </c>
      <c r="M153" t="s">
        <v>14</v>
      </c>
    </row>
    <row r="154" spans="1:13" x14ac:dyDescent="0.25">
      <c r="A154">
        <v>8</v>
      </c>
      <c r="B154">
        <v>6</v>
      </c>
      <c r="C154">
        <v>1</v>
      </c>
      <c r="D154">
        <v>337</v>
      </c>
      <c r="E154">
        <v>82</v>
      </c>
      <c r="F154">
        <v>256</v>
      </c>
      <c r="G154">
        <v>438.73700001859106</v>
      </c>
      <c r="H154" t="s">
        <v>13</v>
      </c>
      <c r="I154">
        <v>10345</v>
      </c>
      <c r="J154">
        <v>52</v>
      </c>
      <c r="K154">
        <v>11</v>
      </c>
      <c r="L154">
        <v>8061</v>
      </c>
      <c r="M154" t="s">
        <v>14</v>
      </c>
    </row>
    <row r="155" spans="1:13" x14ac:dyDescent="0.25">
      <c r="A155">
        <v>8</v>
      </c>
      <c r="B155">
        <v>6</v>
      </c>
      <c r="C155">
        <v>2</v>
      </c>
      <c r="D155">
        <v>405</v>
      </c>
      <c r="E155">
        <v>83</v>
      </c>
      <c r="F155">
        <v>259</v>
      </c>
      <c r="G155">
        <v>136.55630001449026</v>
      </c>
      <c r="H155" t="s">
        <v>13</v>
      </c>
      <c r="I155">
        <v>3412</v>
      </c>
      <c r="J155">
        <v>24</v>
      </c>
      <c r="K155">
        <v>2</v>
      </c>
      <c r="L155">
        <v>8062</v>
      </c>
      <c r="M155" t="s">
        <v>14</v>
      </c>
    </row>
    <row r="156" spans="1:13" x14ac:dyDescent="0.25">
      <c r="A156">
        <v>8</v>
      </c>
      <c r="B156">
        <v>6</v>
      </c>
      <c r="C156">
        <v>3</v>
      </c>
      <c r="D156">
        <v>544</v>
      </c>
      <c r="E156">
        <v>109</v>
      </c>
      <c r="F156">
        <v>403</v>
      </c>
      <c r="G156">
        <v>895.22719997330569</v>
      </c>
      <c r="H156" t="s">
        <v>13</v>
      </c>
      <c r="I156">
        <v>25652</v>
      </c>
      <c r="J156">
        <v>120</v>
      </c>
      <c r="K156">
        <v>13</v>
      </c>
      <c r="L156">
        <v>8063</v>
      </c>
      <c r="M156" t="s">
        <v>14</v>
      </c>
    </row>
    <row r="157" spans="1:13" x14ac:dyDescent="0.25">
      <c r="A157">
        <v>8</v>
      </c>
      <c r="B157">
        <v>6</v>
      </c>
      <c r="C157">
        <v>5</v>
      </c>
      <c r="D157">
        <v>634</v>
      </c>
      <c r="E157">
        <v>115</v>
      </c>
      <c r="F157">
        <v>487</v>
      </c>
      <c r="G157">
        <v>37078.619400010211</v>
      </c>
      <c r="H157" t="s">
        <v>13</v>
      </c>
      <c r="I157">
        <v>1574711</v>
      </c>
      <c r="J157">
        <v>7354</v>
      </c>
      <c r="K157">
        <v>461</v>
      </c>
      <c r="L157">
        <v>8065</v>
      </c>
      <c r="M157" t="s">
        <v>14</v>
      </c>
    </row>
    <row r="158" spans="1:13" x14ac:dyDescent="0.25">
      <c r="A158">
        <v>8</v>
      </c>
      <c r="B158">
        <v>8</v>
      </c>
      <c r="C158">
        <v>1</v>
      </c>
      <c r="F158">
        <v>244</v>
      </c>
      <c r="H158" t="s">
        <v>15</v>
      </c>
      <c r="L158">
        <v>8081</v>
      </c>
      <c r="M158" t="s">
        <v>40</v>
      </c>
    </row>
    <row r="159" spans="1:13" x14ac:dyDescent="0.25">
      <c r="A159">
        <v>8</v>
      </c>
      <c r="B159">
        <v>8</v>
      </c>
      <c r="C159">
        <v>2</v>
      </c>
      <c r="D159">
        <v>528</v>
      </c>
      <c r="E159">
        <v>88</v>
      </c>
      <c r="F159">
        <v>346</v>
      </c>
      <c r="G159">
        <v>17772.923399985302</v>
      </c>
      <c r="H159" t="s">
        <v>13</v>
      </c>
      <c r="I159">
        <v>1353069</v>
      </c>
      <c r="J159">
        <v>1335</v>
      </c>
      <c r="K159">
        <v>196</v>
      </c>
      <c r="L159">
        <v>8082</v>
      </c>
      <c r="M159" t="s">
        <v>14</v>
      </c>
    </row>
    <row r="160" spans="1:13" x14ac:dyDescent="0.25">
      <c r="A160">
        <v>8</v>
      </c>
      <c r="B160">
        <v>8</v>
      </c>
      <c r="C160">
        <v>3</v>
      </c>
      <c r="D160">
        <v>680</v>
      </c>
      <c r="E160">
        <v>102</v>
      </c>
      <c r="F160">
        <v>397</v>
      </c>
      <c r="G160">
        <v>3440.0735000090208</v>
      </c>
      <c r="H160" t="s">
        <v>13</v>
      </c>
      <c r="I160">
        <v>117508</v>
      </c>
      <c r="J160">
        <v>457</v>
      </c>
      <c r="K160">
        <v>53</v>
      </c>
      <c r="L160">
        <v>8083</v>
      </c>
      <c r="M160" t="s">
        <v>14</v>
      </c>
    </row>
    <row r="161" spans="1:13" x14ac:dyDescent="0.25">
      <c r="A161">
        <v>8</v>
      </c>
      <c r="B161">
        <v>8</v>
      </c>
      <c r="C161">
        <v>5</v>
      </c>
      <c r="F161">
        <v>469</v>
      </c>
      <c r="H161" t="s">
        <v>15</v>
      </c>
      <c r="L161">
        <v>8085</v>
      </c>
      <c r="M161" t="s">
        <v>40</v>
      </c>
    </row>
    <row r="162" spans="1:13" x14ac:dyDescent="0.25">
      <c r="A162">
        <v>9</v>
      </c>
      <c r="B162">
        <v>2</v>
      </c>
      <c r="C162">
        <v>1</v>
      </c>
      <c r="D162">
        <v>138</v>
      </c>
      <c r="E162">
        <v>72</v>
      </c>
      <c r="F162">
        <v>226</v>
      </c>
      <c r="G162">
        <v>31.231500004651025</v>
      </c>
      <c r="H162" t="s">
        <v>13</v>
      </c>
      <c r="I162">
        <v>639</v>
      </c>
      <c r="J162">
        <v>4</v>
      </c>
      <c r="K162">
        <v>1</v>
      </c>
      <c r="L162">
        <v>9021</v>
      </c>
      <c r="M162" t="s">
        <v>14</v>
      </c>
    </row>
    <row r="163" spans="1:13" x14ac:dyDescent="0.25">
      <c r="A163">
        <v>9</v>
      </c>
      <c r="B163">
        <v>2</v>
      </c>
      <c r="C163">
        <v>2</v>
      </c>
      <c r="D163">
        <v>141</v>
      </c>
      <c r="E163">
        <v>79</v>
      </c>
      <c r="F163">
        <v>247</v>
      </c>
      <c r="G163">
        <v>139.89520000177436</v>
      </c>
      <c r="H163" t="s">
        <v>13</v>
      </c>
      <c r="I163">
        <v>3427</v>
      </c>
      <c r="J163">
        <v>24</v>
      </c>
      <c r="K163">
        <v>4</v>
      </c>
      <c r="L163">
        <v>9022</v>
      </c>
      <c r="M163" t="s">
        <v>14</v>
      </c>
    </row>
    <row r="164" spans="1:13" x14ac:dyDescent="0.25">
      <c r="A164">
        <v>9</v>
      </c>
      <c r="B164">
        <v>2</v>
      </c>
      <c r="C164">
        <v>3</v>
      </c>
      <c r="D164">
        <v>141</v>
      </c>
      <c r="E164">
        <v>85</v>
      </c>
      <c r="F164">
        <v>367</v>
      </c>
      <c r="G164">
        <v>418.26979999314062</v>
      </c>
      <c r="H164" t="s">
        <v>13</v>
      </c>
      <c r="I164">
        <v>11707</v>
      </c>
      <c r="J164">
        <v>64</v>
      </c>
      <c r="K164">
        <v>8</v>
      </c>
      <c r="L164">
        <v>9023</v>
      </c>
      <c r="M164" t="s">
        <v>14</v>
      </c>
    </row>
    <row r="165" spans="1:13" x14ac:dyDescent="0.25">
      <c r="A165">
        <v>9</v>
      </c>
      <c r="B165">
        <v>2</v>
      </c>
      <c r="C165">
        <v>5</v>
      </c>
      <c r="D165">
        <v>207</v>
      </c>
      <c r="E165">
        <v>112</v>
      </c>
      <c r="F165">
        <v>409</v>
      </c>
      <c r="G165">
        <v>935.73120000655763</v>
      </c>
      <c r="H165" t="s">
        <v>13</v>
      </c>
      <c r="I165">
        <v>44980</v>
      </c>
      <c r="J165">
        <v>158</v>
      </c>
      <c r="K165">
        <v>12</v>
      </c>
      <c r="L165">
        <v>9025</v>
      </c>
      <c r="M165" t="s">
        <v>14</v>
      </c>
    </row>
    <row r="166" spans="1:13" x14ac:dyDescent="0.25">
      <c r="A166">
        <v>9</v>
      </c>
      <c r="B166">
        <v>4</v>
      </c>
      <c r="C166">
        <v>1</v>
      </c>
      <c r="D166">
        <v>169</v>
      </c>
      <c r="E166">
        <v>59</v>
      </c>
      <c r="F166">
        <v>187</v>
      </c>
      <c r="G166">
        <v>80.001700000138953</v>
      </c>
      <c r="H166" t="s">
        <v>13</v>
      </c>
      <c r="I166">
        <v>1478</v>
      </c>
      <c r="J166">
        <v>12</v>
      </c>
      <c r="K166">
        <v>2</v>
      </c>
      <c r="L166">
        <v>9041</v>
      </c>
      <c r="M166" t="s">
        <v>14</v>
      </c>
    </row>
    <row r="167" spans="1:13" x14ac:dyDescent="0.25">
      <c r="A167">
        <v>9</v>
      </c>
      <c r="B167">
        <v>4</v>
      </c>
      <c r="C167">
        <v>2</v>
      </c>
      <c r="D167">
        <v>326</v>
      </c>
      <c r="E167">
        <v>105</v>
      </c>
      <c r="F167">
        <v>325</v>
      </c>
      <c r="G167">
        <v>233.04439999628812</v>
      </c>
      <c r="H167" t="s">
        <v>13</v>
      </c>
      <c r="I167">
        <v>5995</v>
      </c>
      <c r="J167">
        <v>30</v>
      </c>
      <c r="K167">
        <v>4</v>
      </c>
      <c r="L167">
        <v>9042</v>
      </c>
      <c r="M167" t="s">
        <v>14</v>
      </c>
    </row>
    <row r="168" spans="1:13" x14ac:dyDescent="0.25">
      <c r="A168">
        <v>9</v>
      </c>
      <c r="B168">
        <v>4</v>
      </c>
      <c r="C168">
        <v>3</v>
      </c>
      <c r="F168">
        <v>298</v>
      </c>
      <c r="H168" t="s">
        <v>15</v>
      </c>
      <c r="L168">
        <v>9043</v>
      </c>
      <c r="M168" t="s">
        <v>40</v>
      </c>
    </row>
    <row r="169" spans="1:13" x14ac:dyDescent="0.25">
      <c r="A169">
        <v>9</v>
      </c>
      <c r="B169">
        <v>4</v>
      </c>
      <c r="C169">
        <v>5</v>
      </c>
      <c r="D169">
        <v>372</v>
      </c>
      <c r="E169">
        <v>102</v>
      </c>
      <c r="F169">
        <v>490</v>
      </c>
      <c r="G169">
        <v>460.48380000866018</v>
      </c>
      <c r="H169" t="s">
        <v>13</v>
      </c>
      <c r="I169">
        <v>15815</v>
      </c>
      <c r="J169">
        <v>81</v>
      </c>
      <c r="K169">
        <v>5</v>
      </c>
      <c r="L169">
        <v>9045</v>
      </c>
      <c r="M169" t="s">
        <v>14</v>
      </c>
    </row>
    <row r="170" spans="1:13" x14ac:dyDescent="0.25">
      <c r="A170">
        <v>9</v>
      </c>
      <c r="B170">
        <v>5</v>
      </c>
      <c r="C170">
        <v>1</v>
      </c>
      <c r="D170">
        <v>314</v>
      </c>
      <c r="E170">
        <v>80</v>
      </c>
      <c r="F170">
        <v>250</v>
      </c>
      <c r="G170">
        <v>158.34490000270307</v>
      </c>
      <c r="H170" t="s">
        <v>13</v>
      </c>
      <c r="I170">
        <v>3608</v>
      </c>
      <c r="J170">
        <v>18</v>
      </c>
      <c r="K170">
        <v>3</v>
      </c>
      <c r="L170">
        <v>9051</v>
      </c>
      <c r="M170" t="s">
        <v>14</v>
      </c>
    </row>
    <row r="171" spans="1:13" x14ac:dyDescent="0.25">
      <c r="A171">
        <v>9</v>
      </c>
      <c r="B171">
        <v>5</v>
      </c>
      <c r="C171">
        <v>2</v>
      </c>
      <c r="D171">
        <v>377</v>
      </c>
      <c r="E171">
        <v>83</v>
      </c>
      <c r="F171">
        <v>259</v>
      </c>
      <c r="G171">
        <v>446.43640000140294</v>
      </c>
      <c r="H171" t="s">
        <v>13</v>
      </c>
      <c r="I171">
        <v>11592</v>
      </c>
      <c r="J171">
        <v>63</v>
      </c>
      <c r="K171">
        <v>9</v>
      </c>
      <c r="L171">
        <v>9052</v>
      </c>
      <c r="M171" t="s">
        <v>14</v>
      </c>
    </row>
    <row r="172" spans="1:13" x14ac:dyDescent="0.25">
      <c r="A172">
        <v>9</v>
      </c>
      <c r="B172">
        <v>5</v>
      </c>
      <c r="C172">
        <v>3</v>
      </c>
      <c r="D172">
        <v>410</v>
      </c>
      <c r="E172">
        <v>91</v>
      </c>
      <c r="F172">
        <v>340</v>
      </c>
      <c r="G172">
        <v>332.40460001979955</v>
      </c>
      <c r="H172" t="s">
        <v>13</v>
      </c>
      <c r="I172">
        <v>9890</v>
      </c>
      <c r="J172">
        <v>52</v>
      </c>
      <c r="K172">
        <v>5</v>
      </c>
      <c r="L172">
        <v>9053</v>
      </c>
      <c r="M172" t="s">
        <v>14</v>
      </c>
    </row>
    <row r="173" spans="1:13" x14ac:dyDescent="0.25">
      <c r="A173">
        <v>9</v>
      </c>
      <c r="B173">
        <v>5</v>
      </c>
      <c r="C173">
        <v>5</v>
      </c>
      <c r="D173">
        <v>533</v>
      </c>
      <c r="E173">
        <v>113</v>
      </c>
      <c r="F173">
        <v>517</v>
      </c>
      <c r="G173">
        <v>12858.762699994259</v>
      </c>
      <c r="H173" t="s">
        <v>13</v>
      </c>
      <c r="I173">
        <v>445487</v>
      </c>
      <c r="J173">
        <v>2604</v>
      </c>
      <c r="K173">
        <v>159</v>
      </c>
      <c r="L173">
        <v>9055</v>
      </c>
      <c r="M173" t="s">
        <v>14</v>
      </c>
    </row>
    <row r="174" spans="1:13" x14ac:dyDescent="0.25">
      <c r="A174">
        <v>9</v>
      </c>
      <c r="B174">
        <v>6</v>
      </c>
      <c r="C174">
        <v>1</v>
      </c>
      <c r="D174">
        <v>364</v>
      </c>
      <c r="E174">
        <v>95</v>
      </c>
      <c r="F174">
        <v>295</v>
      </c>
      <c r="G174">
        <v>1565.0402999890503</v>
      </c>
      <c r="H174" t="s">
        <v>13</v>
      </c>
      <c r="I174">
        <v>35708</v>
      </c>
      <c r="J174">
        <v>152</v>
      </c>
      <c r="K174">
        <v>36</v>
      </c>
      <c r="L174">
        <v>9061</v>
      </c>
      <c r="M174" t="s">
        <v>14</v>
      </c>
    </row>
    <row r="175" spans="1:13" x14ac:dyDescent="0.25">
      <c r="A175">
        <v>9</v>
      </c>
      <c r="B175">
        <v>6</v>
      </c>
      <c r="C175">
        <v>2</v>
      </c>
      <c r="D175">
        <v>441</v>
      </c>
      <c r="E175">
        <v>101</v>
      </c>
      <c r="F175">
        <v>301</v>
      </c>
      <c r="G175">
        <v>23030.733499996131</v>
      </c>
      <c r="H175" t="s">
        <v>13</v>
      </c>
      <c r="I175">
        <v>2001617</v>
      </c>
      <c r="J175">
        <v>1548</v>
      </c>
      <c r="K175">
        <v>256</v>
      </c>
      <c r="L175">
        <v>9062</v>
      </c>
      <c r="M175" t="s">
        <v>14</v>
      </c>
    </row>
    <row r="176" spans="1:13" x14ac:dyDescent="0.25">
      <c r="A176">
        <v>9</v>
      </c>
      <c r="B176">
        <v>6</v>
      </c>
      <c r="C176">
        <v>3</v>
      </c>
      <c r="D176">
        <v>425</v>
      </c>
      <c r="E176">
        <v>84</v>
      </c>
      <c r="F176">
        <v>334</v>
      </c>
      <c r="G176">
        <v>1597.0263000053819</v>
      </c>
      <c r="H176" t="s">
        <v>13</v>
      </c>
      <c r="I176">
        <v>40580</v>
      </c>
      <c r="J176">
        <v>300</v>
      </c>
      <c r="K176">
        <v>30</v>
      </c>
      <c r="L176">
        <v>9063</v>
      </c>
      <c r="M176" t="s">
        <v>14</v>
      </c>
    </row>
    <row r="177" spans="1:13" x14ac:dyDescent="0.25">
      <c r="A177">
        <v>9</v>
      </c>
      <c r="B177">
        <v>6</v>
      </c>
      <c r="C177">
        <v>5</v>
      </c>
      <c r="D177">
        <v>596</v>
      </c>
      <c r="E177">
        <v>111</v>
      </c>
      <c r="F177">
        <v>400</v>
      </c>
      <c r="G177">
        <v>7587.1227000025101</v>
      </c>
      <c r="H177" t="s">
        <v>13</v>
      </c>
      <c r="I177">
        <v>776064</v>
      </c>
      <c r="J177">
        <v>658</v>
      </c>
      <c r="K177">
        <v>47</v>
      </c>
      <c r="L177">
        <v>9065</v>
      </c>
      <c r="M177" t="s">
        <v>14</v>
      </c>
    </row>
    <row r="178" spans="1:13" x14ac:dyDescent="0.25">
      <c r="A178">
        <v>9</v>
      </c>
      <c r="B178">
        <v>8</v>
      </c>
      <c r="C178">
        <v>1</v>
      </c>
      <c r="D178">
        <v>422</v>
      </c>
      <c r="E178">
        <v>83</v>
      </c>
      <c r="F178">
        <v>259</v>
      </c>
      <c r="G178">
        <v>38634.562899998855</v>
      </c>
      <c r="H178" t="s">
        <v>13</v>
      </c>
      <c r="I178">
        <v>796246</v>
      </c>
      <c r="J178">
        <v>4184</v>
      </c>
      <c r="K178">
        <v>1043</v>
      </c>
      <c r="L178">
        <v>9081</v>
      </c>
      <c r="M178" t="s">
        <v>14</v>
      </c>
    </row>
    <row r="179" spans="1:13" x14ac:dyDescent="0.25">
      <c r="A179">
        <v>9</v>
      </c>
      <c r="B179">
        <v>8</v>
      </c>
      <c r="C179">
        <v>2</v>
      </c>
      <c r="D179">
        <v>554</v>
      </c>
      <c r="E179">
        <v>97</v>
      </c>
      <c r="F179">
        <v>283</v>
      </c>
      <c r="G179">
        <v>2488.3179000171367</v>
      </c>
      <c r="H179" t="s">
        <v>13</v>
      </c>
      <c r="I179">
        <v>71549</v>
      </c>
      <c r="J179">
        <v>336</v>
      </c>
      <c r="K179">
        <v>53</v>
      </c>
      <c r="L179">
        <v>9082</v>
      </c>
      <c r="M179" t="s">
        <v>14</v>
      </c>
    </row>
    <row r="180" spans="1:13" x14ac:dyDescent="0.25">
      <c r="A180">
        <v>9</v>
      </c>
      <c r="B180">
        <v>8</v>
      </c>
      <c r="C180">
        <v>3</v>
      </c>
      <c r="D180">
        <v>574</v>
      </c>
      <c r="E180">
        <v>94</v>
      </c>
      <c r="F180">
        <v>385</v>
      </c>
      <c r="G180">
        <v>14850.596200005384</v>
      </c>
      <c r="H180" t="s">
        <v>13</v>
      </c>
      <c r="I180">
        <v>1113027</v>
      </c>
      <c r="J180">
        <v>1186</v>
      </c>
      <c r="K180">
        <v>122</v>
      </c>
      <c r="L180">
        <v>9083</v>
      </c>
      <c r="M180" t="s">
        <v>14</v>
      </c>
    </row>
    <row r="181" spans="1:13" x14ac:dyDescent="0.25">
      <c r="A181">
        <v>9</v>
      </c>
      <c r="B181">
        <v>8</v>
      </c>
      <c r="C181">
        <v>5</v>
      </c>
      <c r="D181">
        <v>809</v>
      </c>
      <c r="E181">
        <v>126</v>
      </c>
      <c r="F181">
        <v>484</v>
      </c>
      <c r="G181">
        <v>81146.383000013884</v>
      </c>
      <c r="H181" t="s">
        <v>13</v>
      </c>
      <c r="I181">
        <v>9190598</v>
      </c>
      <c r="J181">
        <v>5053</v>
      </c>
      <c r="K181">
        <v>260</v>
      </c>
      <c r="L181">
        <v>9085</v>
      </c>
      <c r="M181" t="s">
        <v>14</v>
      </c>
    </row>
    <row r="182" spans="1:13" x14ac:dyDescent="0.25">
      <c r="A182">
        <v>10</v>
      </c>
      <c r="B182">
        <v>2</v>
      </c>
      <c r="C182">
        <v>1</v>
      </c>
      <c r="D182">
        <v>106</v>
      </c>
      <c r="E182">
        <v>56</v>
      </c>
      <c r="F182">
        <v>178</v>
      </c>
      <c r="G182">
        <v>74.176900001475587</v>
      </c>
      <c r="H182" t="s">
        <v>13</v>
      </c>
      <c r="I182">
        <v>1556</v>
      </c>
      <c r="J182">
        <v>12</v>
      </c>
      <c r="K182">
        <v>3</v>
      </c>
      <c r="L182">
        <v>10021</v>
      </c>
      <c r="M182" t="s">
        <v>14</v>
      </c>
    </row>
    <row r="183" spans="1:13" x14ac:dyDescent="0.25">
      <c r="A183">
        <v>10</v>
      </c>
      <c r="B183">
        <v>2</v>
      </c>
      <c r="C183">
        <v>2</v>
      </c>
      <c r="D183">
        <v>138</v>
      </c>
      <c r="E183">
        <v>73</v>
      </c>
      <c r="F183">
        <v>247</v>
      </c>
      <c r="G183">
        <v>35.632300016004592</v>
      </c>
      <c r="H183" t="s">
        <v>13</v>
      </c>
      <c r="I183">
        <v>913</v>
      </c>
      <c r="J183">
        <v>6</v>
      </c>
      <c r="K183">
        <v>1</v>
      </c>
      <c r="L183">
        <v>10022</v>
      </c>
      <c r="M183" t="s">
        <v>14</v>
      </c>
    </row>
    <row r="184" spans="1:13" x14ac:dyDescent="0.25">
      <c r="A184">
        <v>10</v>
      </c>
      <c r="B184">
        <v>2</v>
      </c>
      <c r="C184">
        <v>3</v>
      </c>
      <c r="D184">
        <v>150</v>
      </c>
      <c r="E184">
        <v>76</v>
      </c>
      <c r="F184">
        <v>256</v>
      </c>
      <c r="G184">
        <v>38.478000002214685</v>
      </c>
      <c r="H184" t="s">
        <v>13</v>
      </c>
      <c r="I184">
        <v>1162</v>
      </c>
      <c r="J184">
        <v>8</v>
      </c>
      <c r="K184">
        <v>1</v>
      </c>
      <c r="L184">
        <v>10023</v>
      </c>
      <c r="M184" t="s">
        <v>14</v>
      </c>
    </row>
    <row r="185" spans="1:13" x14ac:dyDescent="0.25">
      <c r="A185">
        <v>10</v>
      </c>
      <c r="B185">
        <v>2</v>
      </c>
      <c r="C185">
        <v>5</v>
      </c>
      <c r="D185">
        <v>176</v>
      </c>
      <c r="E185">
        <v>92</v>
      </c>
      <c r="F185">
        <v>406</v>
      </c>
      <c r="G185">
        <v>66.358500014757738</v>
      </c>
      <c r="H185" t="s">
        <v>13</v>
      </c>
      <c r="I185">
        <v>2616</v>
      </c>
      <c r="J185">
        <v>12</v>
      </c>
      <c r="K185">
        <v>1</v>
      </c>
      <c r="L185">
        <v>10025</v>
      </c>
      <c r="M185" t="s">
        <v>14</v>
      </c>
    </row>
    <row r="186" spans="1:13" x14ac:dyDescent="0.25">
      <c r="A186">
        <v>10</v>
      </c>
      <c r="B186">
        <v>4</v>
      </c>
      <c r="C186">
        <v>1</v>
      </c>
      <c r="D186">
        <v>267</v>
      </c>
      <c r="E186">
        <v>87</v>
      </c>
      <c r="F186">
        <v>271</v>
      </c>
      <c r="G186">
        <v>393.27919998322614</v>
      </c>
      <c r="H186" t="s">
        <v>13</v>
      </c>
      <c r="I186">
        <v>7651</v>
      </c>
      <c r="J186">
        <v>44</v>
      </c>
      <c r="K186">
        <v>10</v>
      </c>
      <c r="L186">
        <v>10041</v>
      </c>
      <c r="M186" t="s">
        <v>14</v>
      </c>
    </row>
    <row r="187" spans="1:13" x14ac:dyDescent="0.25">
      <c r="A187">
        <v>10</v>
      </c>
      <c r="B187">
        <v>4</v>
      </c>
      <c r="C187">
        <v>2</v>
      </c>
      <c r="D187">
        <v>315</v>
      </c>
      <c r="E187">
        <v>91</v>
      </c>
      <c r="F187">
        <v>265</v>
      </c>
      <c r="G187">
        <v>2282.7664999931585</v>
      </c>
      <c r="H187" t="s">
        <v>13</v>
      </c>
      <c r="I187">
        <v>76999</v>
      </c>
      <c r="J187">
        <v>336</v>
      </c>
      <c r="K187">
        <v>55</v>
      </c>
      <c r="L187">
        <v>10042</v>
      </c>
      <c r="M187" t="s">
        <v>14</v>
      </c>
    </row>
    <row r="188" spans="1:13" x14ac:dyDescent="0.25">
      <c r="A188">
        <v>10</v>
      </c>
      <c r="B188">
        <v>4</v>
      </c>
      <c r="C188">
        <v>3</v>
      </c>
      <c r="D188">
        <v>333</v>
      </c>
      <c r="E188">
        <v>97</v>
      </c>
      <c r="F188">
        <v>364</v>
      </c>
      <c r="G188">
        <v>164.99789999215864</v>
      </c>
      <c r="H188" t="s">
        <v>13</v>
      </c>
      <c r="I188">
        <v>5004</v>
      </c>
      <c r="J188">
        <v>25</v>
      </c>
      <c r="K188">
        <v>2</v>
      </c>
      <c r="L188">
        <v>10043</v>
      </c>
      <c r="M188" t="s">
        <v>14</v>
      </c>
    </row>
    <row r="189" spans="1:13" x14ac:dyDescent="0.25">
      <c r="A189">
        <v>10</v>
      </c>
      <c r="B189">
        <v>4</v>
      </c>
      <c r="C189">
        <v>5</v>
      </c>
      <c r="D189">
        <v>382</v>
      </c>
      <c r="E189">
        <v>107</v>
      </c>
      <c r="F189">
        <v>463</v>
      </c>
      <c r="G189">
        <v>20514.002600015374</v>
      </c>
      <c r="H189" t="s">
        <v>13</v>
      </c>
      <c r="I189">
        <v>2849218</v>
      </c>
      <c r="J189">
        <v>274</v>
      </c>
      <c r="K189">
        <v>13</v>
      </c>
      <c r="L189">
        <v>10045</v>
      </c>
      <c r="M189" t="s">
        <v>14</v>
      </c>
    </row>
    <row r="190" spans="1:13" x14ac:dyDescent="0.25">
      <c r="A190">
        <v>10</v>
      </c>
      <c r="B190">
        <v>5</v>
      </c>
      <c r="C190">
        <v>1</v>
      </c>
      <c r="D190">
        <v>278</v>
      </c>
      <c r="E190">
        <v>80</v>
      </c>
      <c r="F190">
        <v>250</v>
      </c>
      <c r="G190">
        <v>285.90320001239888</v>
      </c>
      <c r="H190" t="s">
        <v>13</v>
      </c>
      <c r="I190">
        <v>5218</v>
      </c>
      <c r="J190">
        <v>34</v>
      </c>
      <c r="K190">
        <v>7</v>
      </c>
      <c r="L190">
        <v>10051</v>
      </c>
      <c r="M190" t="s">
        <v>14</v>
      </c>
    </row>
    <row r="191" spans="1:13" x14ac:dyDescent="0.25">
      <c r="A191">
        <v>10</v>
      </c>
      <c r="B191">
        <v>5</v>
      </c>
      <c r="C191">
        <v>2</v>
      </c>
      <c r="D191">
        <v>356</v>
      </c>
      <c r="E191">
        <v>86</v>
      </c>
      <c r="F191">
        <v>268</v>
      </c>
      <c r="G191">
        <v>978.17409998970106</v>
      </c>
      <c r="H191" t="s">
        <v>13</v>
      </c>
      <c r="I191">
        <v>28919</v>
      </c>
      <c r="J191">
        <v>137</v>
      </c>
      <c r="K191">
        <v>21</v>
      </c>
      <c r="L191">
        <v>10052</v>
      </c>
      <c r="M191" t="s">
        <v>14</v>
      </c>
    </row>
    <row r="192" spans="1:13" x14ac:dyDescent="0.25">
      <c r="A192">
        <v>10</v>
      </c>
      <c r="B192">
        <v>5</v>
      </c>
      <c r="C192">
        <v>3</v>
      </c>
      <c r="D192">
        <v>379</v>
      </c>
      <c r="E192">
        <v>96</v>
      </c>
      <c r="F192">
        <v>334</v>
      </c>
      <c r="G192">
        <v>515.91190000181086</v>
      </c>
      <c r="H192" t="s">
        <v>13</v>
      </c>
      <c r="I192">
        <v>14251</v>
      </c>
      <c r="J192">
        <v>77</v>
      </c>
      <c r="K192">
        <v>8</v>
      </c>
      <c r="L192">
        <v>10053</v>
      </c>
      <c r="M192" t="s">
        <v>14</v>
      </c>
    </row>
    <row r="193" spans="1:13" x14ac:dyDescent="0.25">
      <c r="A193">
        <v>10</v>
      </c>
      <c r="B193">
        <v>5</v>
      </c>
      <c r="C193">
        <v>5</v>
      </c>
      <c r="D193">
        <v>487</v>
      </c>
      <c r="E193">
        <v>117</v>
      </c>
      <c r="F193">
        <v>466</v>
      </c>
      <c r="G193">
        <v>3651.4661000110209</v>
      </c>
      <c r="H193" t="s">
        <v>13</v>
      </c>
      <c r="I193">
        <v>114220</v>
      </c>
      <c r="J193">
        <v>706</v>
      </c>
      <c r="K193">
        <v>35</v>
      </c>
      <c r="L193">
        <v>10055</v>
      </c>
      <c r="M193" t="s">
        <v>14</v>
      </c>
    </row>
    <row r="194" spans="1:13" x14ac:dyDescent="0.25">
      <c r="A194">
        <v>10</v>
      </c>
      <c r="B194">
        <v>6</v>
      </c>
      <c r="C194">
        <v>1</v>
      </c>
      <c r="D194">
        <v>351</v>
      </c>
      <c r="E194">
        <v>72</v>
      </c>
      <c r="F194">
        <v>226</v>
      </c>
      <c r="G194">
        <v>248.40479998965748</v>
      </c>
      <c r="H194" t="s">
        <v>13</v>
      </c>
      <c r="I194">
        <v>3146</v>
      </c>
      <c r="J194">
        <v>20</v>
      </c>
      <c r="K194">
        <v>3</v>
      </c>
      <c r="L194">
        <v>10061</v>
      </c>
      <c r="M194" t="s">
        <v>14</v>
      </c>
    </row>
    <row r="195" spans="1:13" x14ac:dyDescent="0.25">
      <c r="A195">
        <v>10</v>
      </c>
      <c r="B195">
        <v>6</v>
      </c>
      <c r="C195">
        <v>2</v>
      </c>
      <c r="D195">
        <v>424</v>
      </c>
      <c r="E195">
        <v>101</v>
      </c>
      <c r="F195">
        <v>316</v>
      </c>
      <c r="G195">
        <v>422.61219999636523</v>
      </c>
      <c r="H195" t="s">
        <v>13</v>
      </c>
      <c r="I195">
        <v>9432</v>
      </c>
      <c r="J195">
        <v>42</v>
      </c>
      <c r="K195">
        <v>5</v>
      </c>
      <c r="L195">
        <v>10062</v>
      </c>
      <c r="M195" t="s">
        <v>14</v>
      </c>
    </row>
    <row r="196" spans="1:13" x14ac:dyDescent="0.25">
      <c r="A196">
        <v>10</v>
      </c>
      <c r="B196">
        <v>6</v>
      </c>
      <c r="C196">
        <v>3</v>
      </c>
      <c r="D196">
        <v>573</v>
      </c>
      <c r="E196">
        <v>115</v>
      </c>
      <c r="F196">
        <v>370</v>
      </c>
      <c r="G196">
        <v>540.50430000643246</v>
      </c>
      <c r="H196" t="s">
        <v>13</v>
      </c>
      <c r="I196">
        <v>17312</v>
      </c>
      <c r="J196">
        <v>87</v>
      </c>
      <c r="K196">
        <v>8</v>
      </c>
      <c r="L196">
        <v>10063</v>
      </c>
      <c r="M196" t="s">
        <v>14</v>
      </c>
    </row>
    <row r="197" spans="1:13" x14ac:dyDescent="0.25">
      <c r="A197">
        <v>10</v>
      </c>
      <c r="B197">
        <v>6</v>
      </c>
      <c r="C197">
        <v>5</v>
      </c>
      <c r="F197">
        <v>484</v>
      </c>
      <c r="H197" t="s">
        <v>15</v>
      </c>
      <c r="L197">
        <v>10065</v>
      </c>
      <c r="M197" t="s">
        <v>40</v>
      </c>
    </row>
    <row r="198" spans="1:13" x14ac:dyDescent="0.25">
      <c r="A198">
        <v>10</v>
      </c>
      <c r="B198">
        <v>8</v>
      </c>
      <c r="C198">
        <v>1</v>
      </c>
      <c r="D198">
        <v>468</v>
      </c>
      <c r="E198">
        <v>95</v>
      </c>
      <c r="F198">
        <v>295</v>
      </c>
      <c r="G198">
        <v>1458.3265999972355</v>
      </c>
      <c r="H198" t="s">
        <v>13</v>
      </c>
      <c r="I198">
        <v>32750</v>
      </c>
      <c r="J198">
        <v>132</v>
      </c>
      <c r="K198">
        <v>30</v>
      </c>
      <c r="L198">
        <v>10081</v>
      </c>
      <c r="M198" t="s">
        <v>14</v>
      </c>
    </row>
    <row r="199" spans="1:13" x14ac:dyDescent="0.25">
      <c r="A199">
        <v>10</v>
      </c>
      <c r="B199">
        <v>8</v>
      </c>
      <c r="C199">
        <v>2</v>
      </c>
      <c r="D199">
        <v>512</v>
      </c>
      <c r="E199">
        <v>89</v>
      </c>
      <c r="F199">
        <v>277</v>
      </c>
      <c r="G199">
        <v>341.51530000963248</v>
      </c>
      <c r="H199" t="s">
        <v>13</v>
      </c>
      <c r="I199">
        <v>7515</v>
      </c>
      <c r="J199">
        <v>54</v>
      </c>
      <c r="K199">
        <v>6</v>
      </c>
      <c r="L199">
        <v>10082</v>
      </c>
      <c r="M199" t="s">
        <v>14</v>
      </c>
    </row>
    <row r="200" spans="1:13" x14ac:dyDescent="0.25">
      <c r="A200">
        <v>10</v>
      </c>
      <c r="B200">
        <v>8</v>
      </c>
      <c r="C200">
        <v>3</v>
      </c>
      <c r="F200">
        <v>373</v>
      </c>
      <c r="H200" t="s">
        <v>15</v>
      </c>
      <c r="L200">
        <v>10083</v>
      </c>
      <c r="M200" t="s">
        <v>40</v>
      </c>
    </row>
    <row r="201" spans="1:13" x14ac:dyDescent="0.25">
      <c r="A201">
        <v>10</v>
      </c>
      <c r="B201">
        <v>8</v>
      </c>
      <c r="C201">
        <v>5</v>
      </c>
      <c r="D201">
        <v>772</v>
      </c>
      <c r="E201">
        <v>116</v>
      </c>
      <c r="F201">
        <v>484</v>
      </c>
      <c r="G201">
        <v>37121.33600001107</v>
      </c>
      <c r="H201" t="s">
        <v>13</v>
      </c>
      <c r="I201">
        <v>2909196</v>
      </c>
      <c r="J201">
        <v>3724</v>
      </c>
      <c r="K201">
        <v>231</v>
      </c>
      <c r="L201">
        <v>10085</v>
      </c>
      <c r="M201" t="s">
        <v>14</v>
      </c>
    </row>
    <row r="202" spans="1:13" x14ac:dyDescent="0.25">
      <c r="A202">
        <v>11</v>
      </c>
      <c r="B202">
        <v>2</v>
      </c>
      <c r="C202">
        <v>1</v>
      </c>
      <c r="D202">
        <v>101</v>
      </c>
      <c r="E202">
        <v>63</v>
      </c>
      <c r="F202">
        <v>199</v>
      </c>
      <c r="G202">
        <v>26.994200015906245</v>
      </c>
      <c r="H202" t="s">
        <v>13</v>
      </c>
      <c r="I202">
        <v>512</v>
      </c>
      <c r="J202">
        <v>4</v>
      </c>
      <c r="K202">
        <v>1</v>
      </c>
      <c r="L202">
        <v>11021</v>
      </c>
      <c r="M202" t="s">
        <v>14</v>
      </c>
    </row>
    <row r="203" spans="1:13" x14ac:dyDescent="0.25">
      <c r="A203">
        <v>11</v>
      </c>
      <c r="B203">
        <v>2</v>
      </c>
      <c r="C203">
        <v>2</v>
      </c>
      <c r="D203">
        <v>165</v>
      </c>
      <c r="E203">
        <v>85</v>
      </c>
      <c r="F203">
        <v>268</v>
      </c>
      <c r="G203">
        <v>39.122599991969764</v>
      </c>
      <c r="H203" t="s">
        <v>13</v>
      </c>
      <c r="I203">
        <v>1212</v>
      </c>
      <c r="J203">
        <v>6</v>
      </c>
      <c r="K203">
        <v>1</v>
      </c>
      <c r="L203">
        <v>11022</v>
      </c>
      <c r="M203" t="s">
        <v>14</v>
      </c>
    </row>
    <row r="204" spans="1:13" x14ac:dyDescent="0.25">
      <c r="A204">
        <v>11</v>
      </c>
      <c r="B204">
        <v>2</v>
      </c>
      <c r="C204">
        <v>3</v>
      </c>
      <c r="D204">
        <v>144</v>
      </c>
      <c r="E204">
        <v>76</v>
      </c>
      <c r="F204">
        <v>256</v>
      </c>
      <c r="G204">
        <v>36.358200013637543</v>
      </c>
      <c r="H204" t="s">
        <v>13</v>
      </c>
      <c r="I204">
        <v>1033</v>
      </c>
      <c r="J204">
        <v>8</v>
      </c>
      <c r="K204">
        <v>1</v>
      </c>
      <c r="L204">
        <v>11023</v>
      </c>
      <c r="M204" t="s">
        <v>14</v>
      </c>
    </row>
    <row r="205" spans="1:13" x14ac:dyDescent="0.25">
      <c r="A205">
        <v>11</v>
      </c>
      <c r="B205">
        <v>2</v>
      </c>
      <c r="C205">
        <v>5</v>
      </c>
      <c r="D205">
        <v>187</v>
      </c>
      <c r="E205">
        <v>98</v>
      </c>
      <c r="F205">
        <v>355</v>
      </c>
      <c r="G205">
        <v>398.16869999049231</v>
      </c>
      <c r="H205" t="s">
        <v>13</v>
      </c>
      <c r="I205">
        <v>17361</v>
      </c>
      <c r="J205">
        <v>120</v>
      </c>
      <c r="K205">
        <v>7</v>
      </c>
      <c r="L205">
        <v>11025</v>
      </c>
      <c r="M205" t="s">
        <v>14</v>
      </c>
    </row>
    <row r="206" spans="1:13" x14ac:dyDescent="0.25">
      <c r="A206">
        <v>11</v>
      </c>
      <c r="B206">
        <v>4</v>
      </c>
      <c r="C206">
        <v>1</v>
      </c>
      <c r="D206">
        <v>219</v>
      </c>
      <c r="E206">
        <v>82</v>
      </c>
      <c r="F206">
        <v>256</v>
      </c>
      <c r="G206">
        <v>271.83919999515638</v>
      </c>
      <c r="H206" t="s">
        <v>13</v>
      </c>
      <c r="I206">
        <v>5120</v>
      </c>
      <c r="J206">
        <v>28</v>
      </c>
      <c r="K206">
        <v>6</v>
      </c>
      <c r="L206">
        <v>11041</v>
      </c>
      <c r="M206" t="s">
        <v>14</v>
      </c>
    </row>
    <row r="207" spans="1:13" x14ac:dyDescent="0.25">
      <c r="A207">
        <v>11</v>
      </c>
      <c r="B207">
        <v>4</v>
      </c>
      <c r="C207">
        <v>2</v>
      </c>
      <c r="D207">
        <v>244</v>
      </c>
      <c r="E207">
        <v>76</v>
      </c>
      <c r="F207">
        <v>238</v>
      </c>
      <c r="G207">
        <v>1766.4222000166774</v>
      </c>
      <c r="H207" t="s">
        <v>13</v>
      </c>
      <c r="I207">
        <v>124370</v>
      </c>
      <c r="J207">
        <v>203</v>
      </c>
      <c r="K207">
        <v>30</v>
      </c>
      <c r="L207">
        <v>11042</v>
      </c>
      <c r="M207" t="s">
        <v>14</v>
      </c>
    </row>
    <row r="208" spans="1:13" x14ac:dyDescent="0.25">
      <c r="A208">
        <v>11</v>
      </c>
      <c r="B208">
        <v>4</v>
      </c>
      <c r="C208">
        <v>3</v>
      </c>
      <c r="D208">
        <v>318</v>
      </c>
      <c r="E208">
        <v>101</v>
      </c>
      <c r="F208">
        <v>307</v>
      </c>
      <c r="G208">
        <v>90.605700010200962</v>
      </c>
      <c r="H208" t="s">
        <v>13</v>
      </c>
      <c r="I208">
        <v>2845</v>
      </c>
      <c r="J208">
        <v>17</v>
      </c>
      <c r="K208">
        <v>1</v>
      </c>
      <c r="L208">
        <v>11043</v>
      </c>
      <c r="M208" t="s">
        <v>14</v>
      </c>
    </row>
    <row r="209" spans="1:13" x14ac:dyDescent="0.25">
      <c r="A209">
        <v>11</v>
      </c>
      <c r="B209">
        <v>4</v>
      </c>
      <c r="C209">
        <v>5</v>
      </c>
      <c r="D209">
        <v>392</v>
      </c>
      <c r="E209">
        <v>105</v>
      </c>
      <c r="F209">
        <v>358</v>
      </c>
      <c r="G209">
        <v>1424.7102000226732</v>
      </c>
      <c r="H209" t="s">
        <v>13</v>
      </c>
      <c r="I209">
        <v>64024</v>
      </c>
      <c r="J209">
        <v>342</v>
      </c>
      <c r="K209">
        <v>21</v>
      </c>
      <c r="L209">
        <v>11045</v>
      </c>
      <c r="M209" t="s">
        <v>14</v>
      </c>
    </row>
    <row r="210" spans="1:13" x14ac:dyDescent="0.25">
      <c r="A210">
        <v>11</v>
      </c>
      <c r="B210">
        <v>5</v>
      </c>
      <c r="C210">
        <v>1</v>
      </c>
      <c r="D210">
        <v>316</v>
      </c>
      <c r="E210">
        <v>74</v>
      </c>
      <c r="F210">
        <v>232</v>
      </c>
      <c r="G210">
        <v>138.88449998921715</v>
      </c>
      <c r="H210" t="s">
        <v>13</v>
      </c>
      <c r="I210">
        <v>2560</v>
      </c>
      <c r="J210">
        <v>18</v>
      </c>
      <c r="K210">
        <v>3</v>
      </c>
      <c r="L210">
        <v>11051</v>
      </c>
      <c r="M210" t="s">
        <v>14</v>
      </c>
    </row>
    <row r="211" spans="1:13" x14ac:dyDescent="0.25">
      <c r="A211">
        <v>11</v>
      </c>
      <c r="B211">
        <v>5</v>
      </c>
      <c r="C211">
        <v>2</v>
      </c>
      <c r="D211">
        <v>339</v>
      </c>
      <c r="E211">
        <v>80</v>
      </c>
      <c r="F211">
        <v>268</v>
      </c>
      <c r="G211">
        <v>214.14520000689663</v>
      </c>
      <c r="H211" t="s">
        <v>13</v>
      </c>
      <c r="I211">
        <v>5270</v>
      </c>
      <c r="J211">
        <v>33</v>
      </c>
      <c r="K211">
        <v>4</v>
      </c>
      <c r="L211">
        <v>11052</v>
      </c>
      <c r="M211" t="s">
        <v>14</v>
      </c>
    </row>
    <row r="212" spans="1:13" x14ac:dyDescent="0.25">
      <c r="A212">
        <v>11</v>
      </c>
      <c r="B212">
        <v>5</v>
      </c>
      <c r="C212">
        <v>3</v>
      </c>
      <c r="D212">
        <v>355</v>
      </c>
      <c r="E212">
        <v>87</v>
      </c>
      <c r="F212">
        <v>265</v>
      </c>
      <c r="G212">
        <v>139.0121000004001</v>
      </c>
      <c r="H212" t="s">
        <v>13</v>
      </c>
      <c r="I212">
        <v>4108</v>
      </c>
      <c r="J212">
        <v>29</v>
      </c>
      <c r="K212">
        <v>2</v>
      </c>
      <c r="L212">
        <v>11053</v>
      </c>
      <c r="M212" t="s">
        <v>14</v>
      </c>
    </row>
    <row r="213" spans="1:13" x14ac:dyDescent="0.25">
      <c r="A213">
        <v>11</v>
      </c>
      <c r="B213">
        <v>5</v>
      </c>
      <c r="C213">
        <v>5</v>
      </c>
      <c r="D213">
        <v>463</v>
      </c>
      <c r="E213">
        <v>125</v>
      </c>
      <c r="F213">
        <v>427</v>
      </c>
      <c r="G213">
        <v>3661.6837000183295</v>
      </c>
      <c r="H213" t="s">
        <v>13</v>
      </c>
      <c r="I213">
        <v>170386</v>
      </c>
      <c r="J213">
        <v>763</v>
      </c>
      <c r="K213">
        <v>47</v>
      </c>
      <c r="L213">
        <v>11055</v>
      </c>
      <c r="M213" t="s">
        <v>14</v>
      </c>
    </row>
    <row r="214" spans="1:13" x14ac:dyDescent="0.25">
      <c r="A214">
        <v>11</v>
      </c>
      <c r="B214">
        <v>6</v>
      </c>
      <c r="C214">
        <v>1</v>
      </c>
      <c r="D214">
        <v>359</v>
      </c>
      <c r="E214">
        <v>84</v>
      </c>
      <c r="F214">
        <v>262</v>
      </c>
      <c r="G214">
        <v>104.04700000071898</v>
      </c>
      <c r="H214" t="s">
        <v>13</v>
      </c>
      <c r="I214">
        <v>2261</v>
      </c>
      <c r="J214">
        <v>12</v>
      </c>
      <c r="K214">
        <v>1</v>
      </c>
      <c r="L214">
        <v>11061</v>
      </c>
      <c r="M214" t="s">
        <v>14</v>
      </c>
    </row>
    <row r="215" spans="1:13" x14ac:dyDescent="0.25">
      <c r="A215">
        <v>11</v>
      </c>
      <c r="B215">
        <v>6</v>
      </c>
      <c r="C215">
        <v>2</v>
      </c>
      <c r="D215">
        <v>467</v>
      </c>
      <c r="E215">
        <v>95</v>
      </c>
      <c r="F215">
        <v>283</v>
      </c>
      <c r="G215">
        <v>397.5190999917686</v>
      </c>
      <c r="H215" t="s">
        <v>13</v>
      </c>
      <c r="I215">
        <v>10922</v>
      </c>
      <c r="J215">
        <v>54</v>
      </c>
      <c r="K215">
        <v>7</v>
      </c>
      <c r="L215">
        <v>11062</v>
      </c>
      <c r="M215" t="s">
        <v>14</v>
      </c>
    </row>
    <row r="216" spans="1:13" x14ac:dyDescent="0.25">
      <c r="A216">
        <v>11</v>
      </c>
      <c r="B216">
        <v>6</v>
      </c>
      <c r="C216">
        <v>3</v>
      </c>
      <c r="D216">
        <v>497</v>
      </c>
      <c r="E216">
        <v>107</v>
      </c>
      <c r="F216">
        <v>331</v>
      </c>
      <c r="G216">
        <v>485.20910000661388</v>
      </c>
      <c r="H216" t="s">
        <v>13</v>
      </c>
      <c r="I216">
        <v>10517</v>
      </c>
      <c r="J216">
        <v>60</v>
      </c>
      <c r="K216">
        <v>5</v>
      </c>
      <c r="L216">
        <v>11063</v>
      </c>
      <c r="M216" t="s">
        <v>14</v>
      </c>
    </row>
    <row r="217" spans="1:13" x14ac:dyDescent="0.25">
      <c r="A217">
        <v>11</v>
      </c>
      <c r="B217">
        <v>6</v>
      </c>
      <c r="C217">
        <v>5</v>
      </c>
      <c r="D217">
        <v>604</v>
      </c>
      <c r="E217">
        <v>113</v>
      </c>
      <c r="F217">
        <v>427</v>
      </c>
      <c r="G217">
        <v>494.30160000338219</v>
      </c>
      <c r="H217" t="s">
        <v>13</v>
      </c>
      <c r="I217">
        <v>18958</v>
      </c>
      <c r="J217">
        <v>106</v>
      </c>
      <c r="K217">
        <v>5</v>
      </c>
      <c r="L217">
        <v>11065</v>
      </c>
      <c r="M217" t="s">
        <v>14</v>
      </c>
    </row>
    <row r="218" spans="1:13" x14ac:dyDescent="0.25">
      <c r="A218">
        <v>11</v>
      </c>
      <c r="B218">
        <v>8</v>
      </c>
      <c r="C218">
        <v>1</v>
      </c>
      <c r="D218">
        <v>480</v>
      </c>
      <c r="E218">
        <v>70</v>
      </c>
      <c r="F218">
        <v>220</v>
      </c>
      <c r="G218">
        <v>173.82880000513978</v>
      </c>
      <c r="H218" t="s">
        <v>13</v>
      </c>
      <c r="I218">
        <v>3146</v>
      </c>
      <c r="J218">
        <v>20</v>
      </c>
      <c r="K218">
        <v>2</v>
      </c>
      <c r="L218">
        <v>11081</v>
      </c>
      <c r="M218" t="s">
        <v>14</v>
      </c>
    </row>
    <row r="219" spans="1:13" x14ac:dyDescent="0.25">
      <c r="A219">
        <v>11</v>
      </c>
      <c r="B219">
        <v>8</v>
      </c>
      <c r="C219">
        <v>2</v>
      </c>
      <c r="D219">
        <v>577</v>
      </c>
      <c r="E219">
        <v>87</v>
      </c>
      <c r="F219">
        <v>271</v>
      </c>
      <c r="G219">
        <v>30544.702299986966</v>
      </c>
      <c r="H219" t="s">
        <v>13</v>
      </c>
      <c r="I219">
        <v>819945</v>
      </c>
      <c r="J219">
        <v>4701</v>
      </c>
      <c r="K219">
        <v>759</v>
      </c>
      <c r="L219">
        <v>11082</v>
      </c>
      <c r="M219" t="s">
        <v>14</v>
      </c>
    </row>
    <row r="220" spans="1:13" x14ac:dyDescent="0.25">
      <c r="A220">
        <v>11</v>
      </c>
      <c r="B220">
        <v>8</v>
      </c>
      <c r="C220">
        <v>3</v>
      </c>
      <c r="D220">
        <v>623</v>
      </c>
      <c r="E220">
        <v>102</v>
      </c>
      <c r="F220">
        <v>316</v>
      </c>
      <c r="G220">
        <v>10053.251700010151</v>
      </c>
      <c r="H220" t="s">
        <v>13</v>
      </c>
      <c r="I220">
        <v>1179793</v>
      </c>
      <c r="J220">
        <v>346</v>
      </c>
      <c r="K220">
        <v>34</v>
      </c>
      <c r="L220">
        <v>11083</v>
      </c>
      <c r="M220" t="s">
        <v>14</v>
      </c>
    </row>
    <row r="221" spans="1:13" x14ac:dyDescent="0.25">
      <c r="A221">
        <v>11</v>
      </c>
      <c r="B221">
        <v>8</v>
      </c>
      <c r="C221">
        <v>5</v>
      </c>
      <c r="F221">
        <v>394</v>
      </c>
      <c r="H221" t="s">
        <v>15</v>
      </c>
      <c r="L221">
        <v>11085</v>
      </c>
      <c r="M221" t="s">
        <v>40</v>
      </c>
    </row>
    <row r="222" spans="1:13" x14ac:dyDescent="0.25">
      <c r="A222">
        <v>12</v>
      </c>
      <c r="B222">
        <v>2</v>
      </c>
      <c r="C222">
        <v>1</v>
      </c>
      <c r="D222">
        <v>93</v>
      </c>
      <c r="E222">
        <v>55</v>
      </c>
      <c r="F222">
        <v>175</v>
      </c>
      <c r="G222">
        <v>22.536300006322563</v>
      </c>
      <c r="H222" t="s">
        <v>13</v>
      </c>
      <c r="I222">
        <v>353</v>
      </c>
      <c r="J222">
        <v>4</v>
      </c>
      <c r="K222">
        <v>1</v>
      </c>
      <c r="L222">
        <v>12021</v>
      </c>
      <c r="M222" t="s">
        <v>14</v>
      </c>
    </row>
    <row r="223" spans="1:13" x14ac:dyDescent="0.25">
      <c r="A223">
        <v>12</v>
      </c>
      <c r="B223">
        <v>2</v>
      </c>
      <c r="C223">
        <v>2</v>
      </c>
      <c r="D223">
        <v>178</v>
      </c>
      <c r="E223">
        <v>92</v>
      </c>
      <c r="F223">
        <v>256</v>
      </c>
      <c r="G223">
        <v>36.657999997260049</v>
      </c>
      <c r="H223" t="s">
        <v>13</v>
      </c>
      <c r="I223">
        <v>1086</v>
      </c>
      <c r="J223">
        <v>6</v>
      </c>
      <c r="K223">
        <v>1</v>
      </c>
      <c r="L223">
        <v>12022</v>
      </c>
      <c r="M223" t="s">
        <v>14</v>
      </c>
    </row>
    <row r="224" spans="1:13" x14ac:dyDescent="0.25">
      <c r="A224">
        <v>12</v>
      </c>
      <c r="B224">
        <v>2</v>
      </c>
      <c r="C224">
        <v>3</v>
      </c>
      <c r="D224">
        <v>159</v>
      </c>
      <c r="E224">
        <v>83</v>
      </c>
      <c r="F224">
        <v>382</v>
      </c>
      <c r="G224">
        <v>308.69700000039302</v>
      </c>
      <c r="H224" t="s">
        <v>13</v>
      </c>
      <c r="I224">
        <v>7792</v>
      </c>
      <c r="J224">
        <v>48</v>
      </c>
      <c r="K224">
        <v>6</v>
      </c>
      <c r="L224">
        <v>12023</v>
      </c>
      <c r="M224" t="s">
        <v>14</v>
      </c>
    </row>
    <row r="225" spans="1:13" x14ac:dyDescent="0.25">
      <c r="A225">
        <v>12</v>
      </c>
      <c r="B225">
        <v>2</v>
      </c>
      <c r="C225">
        <v>5</v>
      </c>
      <c r="D225">
        <v>156</v>
      </c>
      <c r="E225">
        <v>90</v>
      </c>
      <c r="F225">
        <v>430</v>
      </c>
      <c r="G225">
        <v>63.167599990265444</v>
      </c>
      <c r="H225" t="s">
        <v>13</v>
      </c>
      <c r="I225">
        <v>2151</v>
      </c>
      <c r="J225">
        <v>16</v>
      </c>
      <c r="K225">
        <v>1</v>
      </c>
      <c r="L225">
        <v>12025</v>
      </c>
      <c r="M225" t="s">
        <v>14</v>
      </c>
    </row>
    <row r="226" spans="1:13" x14ac:dyDescent="0.25">
      <c r="A226">
        <v>12</v>
      </c>
      <c r="B226">
        <v>4</v>
      </c>
      <c r="C226">
        <v>1</v>
      </c>
      <c r="D226">
        <v>258</v>
      </c>
      <c r="E226">
        <v>74</v>
      </c>
      <c r="F226">
        <v>232</v>
      </c>
      <c r="G226">
        <v>313.26180000905879</v>
      </c>
      <c r="H226" t="s">
        <v>13</v>
      </c>
      <c r="I226">
        <v>7139</v>
      </c>
      <c r="J226">
        <v>40</v>
      </c>
      <c r="K226">
        <v>9</v>
      </c>
      <c r="L226">
        <v>12041</v>
      </c>
      <c r="M226" t="s">
        <v>14</v>
      </c>
    </row>
    <row r="227" spans="1:13" x14ac:dyDescent="0.25">
      <c r="A227">
        <v>12</v>
      </c>
      <c r="B227">
        <v>4</v>
      </c>
      <c r="C227">
        <v>2</v>
      </c>
      <c r="D227">
        <v>301</v>
      </c>
      <c r="E227">
        <v>90</v>
      </c>
      <c r="F227">
        <v>286</v>
      </c>
      <c r="G227">
        <v>480.39609999977984</v>
      </c>
      <c r="H227" t="s">
        <v>13</v>
      </c>
      <c r="I227">
        <v>13414</v>
      </c>
      <c r="J227">
        <v>72</v>
      </c>
      <c r="K227">
        <v>11</v>
      </c>
      <c r="L227">
        <v>12042</v>
      </c>
      <c r="M227" t="s">
        <v>14</v>
      </c>
    </row>
    <row r="228" spans="1:13" x14ac:dyDescent="0.25">
      <c r="A228">
        <v>12</v>
      </c>
      <c r="B228">
        <v>4</v>
      </c>
      <c r="C228">
        <v>3</v>
      </c>
      <c r="D228">
        <v>311</v>
      </c>
      <c r="E228">
        <v>90</v>
      </c>
      <c r="F228">
        <v>406</v>
      </c>
      <c r="G228">
        <v>23281.885500007775</v>
      </c>
      <c r="H228" t="s">
        <v>13</v>
      </c>
      <c r="I228">
        <v>3108239</v>
      </c>
      <c r="J228">
        <v>354</v>
      </c>
      <c r="K228">
        <v>34</v>
      </c>
      <c r="L228">
        <v>12043</v>
      </c>
      <c r="M228" t="s">
        <v>14</v>
      </c>
    </row>
    <row r="229" spans="1:13" x14ac:dyDescent="0.25">
      <c r="A229">
        <v>12</v>
      </c>
      <c r="B229">
        <v>4</v>
      </c>
      <c r="C229">
        <v>5</v>
      </c>
      <c r="D229">
        <v>379</v>
      </c>
      <c r="E229">
        <v>108</v>
      </c>
      <c r="F229">
        <v>382</v>
      </c>
      <c r="G229">
        <v>293.92859997460619</v>
      </c>
      <c r="H229" t="s">
        <v>13</v>
      </c>
      <c r="I229">
        <v>11303</v>
      </c>
      <c r="J229">
        <v>104</v>
      </c>
      <c r="K229">
        <v>4</v>
      </c>
      <c r="L229">
        <v>12045</v>
      </c>
      <c r="M229" t="s">
        <v>14</v>
      </c>
    </row>
    <row r="230" spans="1:13" x14ac:dyDescent="0.25">
      <c r="A230">
        <v>12</v>
      </c>
      <c r="B230">
        <v>5</v>
      </c>
      <c r="C230">
        <v>1</v>
      </c>
      <c r="D230">
        <v>276</v>
      </c>
      <c r="E230">
        <v>68</v>
      </c>
      <c r="F230">
        <v>214</v>
      </c>
      <c r="G230">
        <v>361.62979999789968</v>
      </c>
      <c r="H230" t="s">
        <v>13</v>
      </c>
      <c r="I230">
        <v>7480</v>
      </c>
      <c r="J230">
        <v>50</v>
      </c>
      <c r="K230">
        <v>11</v>
      </c>
      <c r="L230">
        <v>12051</v>
      </c>
      <c r="M230" t="s">
        <v>14</v>
      </c>
    </row>
    <row r="231" spans="1:13" x14ac:dyDescent="0.25">
      <c r="A231">
        <v>12</v>
      </c>
      <c r="B231">
        <v>5</v>
      </c>
      <c r="C231">
        <v>2</v>
      </c>
      <c r="D231">
        <v>326</v>
      </c>
      <c r="E231">
        <v>77</v>
      </c>
      <c r="F231">
        <v>241</v>
      </c>
      <c r="G231">
        <v>123.06010001339018</v>
      </c>
      <c r="H231" t="s">
        <v>13</v>
      </c>
      <c r="I231">
        <v>3654</v>
      </c>
      <c r="J231">
        <v>21</v>
      </c>
      <c r="K231">
        <v>2</v>
      </c>
      <c r="L231">
        <v>12052</v>
      </c>
      <c r="M231" t="s">
        <v>14</v>
      </c>
    </row>
    <row r="232" spans="1:13" x14ac:dyDescent="0.25">
      <c r="A232">
        <v>12</v>
      </c>
      <c r="B232">
        <v>5</v>
      </c>
      <c r="C232">
        <v>3</v>
      </c>
      <c r="D232">
        <v>412</v>
      </c>
      <c r="E232">
        <v>89</v>
      </c>
      <c r="F232">
        <v>328</v>
      </c>
      <c r="G232">
        <v>2652.0687000011094</v>
      </c>
      <c r="H232" t="s">
        <v>13</v>
      </c>
      <c r="I232">
        <v>284271</v>
      </c>
      <c r="J232">
        <v>138</v>
      </c>
      <c r="K232">
        <v>14</v>
      </c>
      <c r="L232">
        <v>12053</v>
      </c>
      <c r="M232" t="s">
        <v>14</v>
      </c>
    </row>
    <row r="233" spans="1:13" x14ac:dyDescent="0.25">
      <c r="A233">
        <v>12</v>
      </c>
      <c r="B233">
        <v>5</v>
      </c>
      <c r="C233">
        <v>5</v>
      </c>
      <c r="F233">
        <v>412</v>
      </c>
      <c r="H233" t="s">
        <v>15</v>
      </c>
      <c r="L233">
        <v>12055</v>
      </c>
      <c r="M233" t="s">
        <v>40</v>
      </c>
    </row>
    <row r="234" spans="1:13" x14ac:dyDescent="0.25">
      <c r="A234">
        <v>12</v>
      </c>
      <c r="B234">
        <v>6</v>
      </c>
      <c r="C234">
        <v>1</v>
      </c>
      <c r="D234">
        <v>320</v>
      </c>
      <c r="E234">
        <v>69</v>
      </c>
      <c r="F234">
        <v>217</v>
      </c>
      <c r="G234">
        <v>184.29879998438992</v>
      </c>
      <c r="H234" t="s">
        <v>13</v>
      </c>
      <c r="I234">
        <v>4238</v>
      </c>
      <c r="J234">
        <v>24</v>
      </c>
      <c r="K234">
        <v>4</v>
      </c>
      <c r="L234">
        <v>12061</v>
      </c>
      <c r="M234" t="s">
        <v>14</v>
      </c>
    </row>
    <row r="235" spans="1:13" x14ac:dyDescent="0.25">
      <c r="A235">
        <v>12</v>
      </c>
      <c r="B235">
        <v>6</v>
      </c>
      <c r="C235">
        <v>2</v>
      </c>
      <c r="D235">
        <v>438</v>
      </c>
      <c r="E235">
        <v>91</v>
      </c>
      <c r="F235">
        <v>283</v>
      </c>
      <c r="G235">
        <v>603.01690001506358</v>
      </c>
      <c r="H235" t="s">
        <v>13</v>
      </c>
      <c r="I235">
        <v>13101</v>
      </c>
      <c r="J235">
        <v>89</v>
      </c>
      <c r="K235">
        <v>12</v>
      </c>
      <c r="L235">
        <v>12062</v>
      </c>
      <c r="M235" t="s">
        <v>14</v>
      </c>
    </row>
    <row r="236" spans="1:13" x14ac:dyDescent="0.25">
      <c r="A236">
        <v>12</v>
      </c>
      <c r="B236">
        <v>6</v>
      </c>
      <c r="C236">
        <v>3</v>
      </c>
      <c r="D236">
        <v>541</v>
      </c>
      <c r="E236">
        <v>111</v>
      </c>
      <c r="F236">
        <v>370</v>
      </c>
      <c r="G236">
        <v>1718.3553000213578</v>
      </c>
      <c r="H236" t="s">
        <v>13</v>
      </c>
      <c r="I236">
        <v>57385</v>
      </c>
      <c r="J236">
        <v>272</v>
      </c>
      <c r="K236">
        <v>28</v>
      </c>
      <c r="L236">
        <v>12063</v>
      </c>
      <c r="M236" t="s">
        <v>14</v>
      </c>
    </row>
    <row r="237" spans="1:13" x14ac:dyDescent="0.25">
      <c r="A237">
        <v>12</v>
      </c>
      <c r="B237">
        <v>6</v>
      </c>
      <c r="C237">
        <v>5</v>
      </c>
      <c r="F237">
        <v>487</v>
      </c>
      <c r="H237" t="s">
        <v>15</v>
      </c>
      <c r="L237">
        <v>12065</v>
      </c>
      <c r="M237" t="s">
        <v>40</v>
      </c>
    </row>
    <row r="238" spans="1:13" x14ac:dyDescent="0.25">
      <c r="A238">
        <v>12</v>
      </c>
      <c r="B238">
        <v>8</v>
      </c>
      <c r="C238">
        <v>1</v>
      </c>
      <c r="D238">
        <v>449</v>
      </c>
      <c r="E238">
        <v>80</v>
      </c>
      <c r="F238">
        <v>250</v>
      </c>
      <c r="G238">
        <v>351.44560001208447</v>
      </c>
      <c r="H238" t="s">
        <v>13</v>
      </c>
      <c r="I238">
        <v>6752</v>
      </c>
      <c r="J238">
        <v>44</v>
      </c>
      <c r="K238">
        <v>8</v>
      </c>
      <c r="L238">
        <v>12081</v>
      </c>
      <c r="M238" t="s">
        <v>14</v>
      </c>
    </row>
    <row r="239" spans="1:13" x14ac:dyDescent="0.25">
      <c r="A239">
        <v>12</v>
      </c>
      <c r="B239">
        <v>8</v>
      </c>
      <c r="C239">
        <v>2</v>
      </c>
      <c r="D239">
        <v>590</v>
      </c>
      <c r="E239">
        <v>99</v>
      </c>
      <c r="F239">
        <v>307</v>
      </c>
      <c r="G239">
        <v>863.42599999625236</v>
      </c>
      <c r="H239" t="s">
        <v>13</v>
      </c>
      <c r="I239">
        <v>21652</v>
      </c>
      <c r="J239">
        <v>125</v>
      </c>
      <c r="K239">
        <v>17</v>
      </c>
      <c r="L239">
        <v>12082</v>
      </c>
      <c r="M239" t="s">
        <v>14</v>
      </c>
    </row>
    <row r="240" spans="1:13" x14ac:dyDescent="0.25">
      <c r="A240">
        <v>12</v>
      </c>
      <c r="B240">
        <v>8</v>
      </c>
      <c r="C240">
        <v>3</v>
      </c>
      <c r="F240">
        <v>334</v>
      </c>
      <c r="H240" t="s">
        <v>15</v>
      </c>
      <c r="L240">
        <v>12083</v>
      </c>
      <c r="M240" t="s">
        <v>40</v>
      </c>
    </row>
    <row r="241" spans="1:13" x14ac:dyDescent="0.25">
      <c r="A241">
        <v>12</v>
      </c>
      <c r="B241">
        <v>8</v>
      </c>
      <c r="C241">
        <v>5</v>
      </c>
      <c r="F241">
        <v>442</v>
      </c>
      <c r="H241" t="s">
        <v>15</v>
      </c>
      <c r="L241">
        <v>12085</v>
      </c>
      <c r="M241" t="s">
        <v>40</v>
      </c>
    </row>
    <row r="242" spans="1:13" x14ac:dyDescent="0.25">
      <c r="A242">
        <v>13</v>
      </c>
      <c r="B242">
        <v>2</v>
      </c>
      <c r="C242">
        <v>1</v>
      </c>
      <c r="D242">
        <v>122</v>
      </c>
      <c r="E242">
        <v>72</v>
      </c>
      <c r="F242">
        <v>226</v>
      </c>
      <c r="G242">
        <v>31.111999996937811</v>
      </c>
      <c r="H242" t="s">
        <v>13</v>
      </c>
      <c r="I242">
        <v>624</v>
      </c>
      <c r="J242">
        <v>4</v>
      </c>
      <c r="K242">
        <v>1</v>
      </c>
      <c r="L242">
        <v>13021</v>
      </c>
      <c r="M242" t="s">
        <v>14</v>
      </c>
    </row>
    <row r="243" spans="1:13" x14ac:dyDescent="0.25">
      <c r="A243">
        <v>13</v>
      </c>
      <c r="B243">
        <v>2</v>
      </c>
      <c r="C243">
        <v>2</v>
      </c>
      <c r="D243">
        <v>133</v>
      </c>
      <c r="E243">
        <v>73</v>
      </c>
      <c r="F243">
        <v>229</v>
      </c>
      <c r="G243">
        <v>63.220200012437999</v>
      </c>
      <c r="H243" t="s">
        <v>13</v>
      </c>
      <c r="I243">
        <v>1462</v>
      </c>
      <c r="J243">
        <v>12</v>
      </c>
      <c r="K243">
        <v>2</v>
      </c>
      <c r="L243">
        <v>13022</v>
      </c>
      <c r="M243" t="s">
        <v>14</v>
      </c>
    </row>
    <row r="244" spans="1:13" x14ac:dyDescent="0.25">
      <c r="A244">
        <v>13</v>
      </c>
      <c r="B244">
        <v>2</v>
      </c>
      <c r="C244">
        <v>3</v>
      </c>
      <c r="D244">
        <v>180</v>
      </c>
      <c r="E244">
        <v>101</v>
      </c>
      <c r="F244">
        <v>289</v>
      </c>
      <c r="G244">
        <v>199.68160000280477</v>
      </c>
      <c r="H244" t="s">
        <v>13</v>
      </c>
      <c r="I244">
        <v>6581</v>
      </c>
      <c r="J244">
        <v>32</v>
      </c>
      <c r="K244">
        <v>4</v>
      </c>
      <c r="L244">
        <v>13023</v>
      </c>
      <c r="M244" t="s">
        <v>14</v>
      </c>
    </row>
    <row r="245" spans="1:13" x14ac:dyDescent="0.25">
      <c r="A245">
        <v>13</v>
      </c>
      <c r="B245">
        <v>2</v>
      </c>
      <c r="C245">
        <v>5</v>
      </c>
      <c r="D245">
        <v>209</v>
      </c>
      <c r="E245">
        <v>119</v>
      </c>
      <c r="F245">
        <v>469</v>
      </c>
      <c r="G245">
        <v>2774.3372000113595</v>
      </c>
      <c r="H245" t="s">
        <v>13</v>
      </c>
      <c r="I245">
        <v>382830</v>
      </c>
      <c r="J245">
        <v>32</v>
      </c>
      <c r="K245">
        <v>2</v>
      </c>
      <c r="L245">
        <v>13025</v>
      </c>
      <c r="M245" t="s">
        <v>14</v>
      </c>
    </row>
    <row r="246" spans="1:13" x14ac:dyDescent="0.25">
      <c r="A246">
        <v>13</v>
      </c>
      <c r="B246">
        <v>4</v>
      </c>
      <c r="C246">
        <v>1</v>
      </c>
      <c r="D246">
        <v>301</v>
      </c>
      <c r="E246">
        <v>91</v>
      </c>
      <c r="F246">
        <v>283</v>
      </c>
      <c r="G246">
        <v>152.21520001068711</v>
      </c>
      <c r="H246" t="s">
        <v>13</v>
      </c>
      <c r="I246">
        <v>2957</v>
      </c>
      <c r="J246">
        <v>12</v>
      </c>
      <c r="K246">
        <v>2</v>
      </c>
      <c r="L246">
        <v>13041</v>
      </c>
      <c r="M246" t="s">
        <v>14</v>
      </c>
    </row>
    <row r="247" spans="1:13" x14ac:dyDescent="0.25">
      <c r="A247">
        <v>13</v>
      </c>
      <c r="B247">
        <v>4</v>
      </c>
      <c r="C247">
        <v>2</v>
      </c>
      <c r="D247">
        <v>250</v>
      </c>
      <c r="E247">
        <v>69</v>
      </c>
      <c r="F247">
        <v>262</v>
      </c>
      <c r="G247">
        <v>71.48439998854883</v>
      </c>
      <c r="H247" t="s">
        <v>13</v>
      </c>
      <c r="I247">
        <v>1660</v>
      </c>
      <c r="J247">
        <v>12</v>
      </c>
      <c r="K247">
        <v>1</v>
      </c>
      <c r="L247">
        <v>13042</v>
      </c>
      <c r="M247" t="s">
        <v>14</v>
      </c>
    </row>
    <row r="248" spans="1:13" x14ac:dyDescent="0.25">
      <c r="A248">
        <v>13</v>
      </c>
      <c r="B248">
        <v>4</v>
      </c>
      <c r="C248">
        <v>3</v>
      </c>
      <c r="D248">
        <v>315</v>
      </c>
      <c r="E248">
        <v>104</v>
      </c>
      <c r="F248">
        <v>418</v>
      </c>
      <c r="G248">
        <v>1063.9776999887545</v>
      </c>
      <c r="H248" t="s">
        <v>13</v>
      </c>
      <c r="I248">
        <v>24477</v>
      </c>
      <c r="J248">
        <v>170</v>
      </c>
      <c r="K248">
        <v>18</v>
      </c>
      <c r="L248">
        <v>13043</v>
      </c>
      <c r="M248" t="s">
        <v>14</v>
      </c>
    </row>
    <row r="249" spans="1:13" x14ac:dyDescent="0.25">
      <c r="A249">
        <v>13</v>
      </c>
      <c r="B249">
        <v>4</v>
      </c>
      <c r="C249">
        <v>5</v>
      </c>
      <c r="D249">
        <v>364</v>
      </c>
      <c r="E249">
        <v>103</v>
      </c>
      <c r="F249">
        <v>448</v>
      </c>
      <c r="G249">
        <v>4459.0567999985069</v>
      </c>
      <c r="H249" t="s">
        <v>13</v>
      </c>
      <c r="I249">
        <v>273566</v>
      </c>
      <c r="J249">
        <v>982</v>
      </c>
      <c r="K249">
        <v>48</v>
      </c>
      <c r="L249">
        <v>13045</v>
      </c>
      <c r="M249" t="s">
        <v>14</v>
      </c>
    </row>
    <row r="250" spans="1:13" x14ac:dyDescent="0.25">
      <c r="A250">
        <v>13</v>
      </c>
      <c r="B250">
        <v>5</v>
      </c>
      <c r="C250">
        <v>1</v>
      </c>
      <c r="F250">
        <v>250</v>
      </c>
      <c r="H250" t="s">
        <v>15</v>
      </c>
      <c r="L250">
        <v>13051</v>
      </c>
      <c r="M250" t="s">
        <v>40</v>
      </c>
    </row>
    <row r="251" spans="1:13" x14ac:dyDescent="0.25">
      <c r="A251">
        <v>13</v>
      </c>
      <c r="B251">
        <v>5</v>
      </c>
      <c r="C251">
        <v>2</v>
      </c>
      <c r="D251">
        <v>342</v>
      </c>
      <c r="E251">
        <v>85</v>
      </c>
      <c r="F251">
        <v>256</v>
      </c>
      <c r="G251">
        <v>388.40279998839833</v>
      </c>
      <c r="H251" t="s">
        <v>13</v>
      </c>
      <c r="I251">
        <v>12451</v>
      </c>
      <c r="J251">
        <v>63</v>
      </c>
      <c r="K251">
        <v>9</v>
      </c>
      <c r="L251">
        <v>13052</v>
      </c>
      <c r="M251" t="s">
        <v>14</v>
      </c>
    </row>
    <row r="252" spans="1:13" x14ac:dyDescent="0.25">
      <c r="A252">
        <v>13</v>
      </c>
      <c r="B252">
        <v>5</v>
      </c>
      <c r="C252">
        <v>3</v>
      </c>
      <c r="D252">
        <v>420</v>
      </c>
      <c r="E252">
        <v>103</v>
      </c>
      <c r="F252">
        <v>316</v>
      </c>
      <c r="G252">
        <v>437.77140000020154</v>
      </c>
      <c r="H252" t="s">
        <v>13</v>
      </c>
      <c r="I252">
        <v>13438</v>
      </c>
      <c r="J252">
        <v>86</v>
      </c>
      <c r="K252">
        <v>8</v>
      </c>
      <c r="L252">
        <v>13053</v>
      </c>
      <c r="M252" t="s">
        <v>14</v>
      </c>
    </row>
    <row r="253" spans="1:13" x14ac:dyDescent="0.25">
      <c r="A253">
        <v>13</v>
      </c>
      <c r="B253">
        <v>5</v>
      </c>
      <c r="C253">
        <v>5</v>
      </c>
      <c r="F253">
        <v>460</v>
      </c>
      <c r="H253" t="s">
        <v>15</v>
      </c>
      <c r="L253">
        <v>13055</v>
      </c>
      <c r="M253" t="s">
        <v>40</v>
      </c>
    </row>
    <row r="254" spans="1:13" x14ac:dyDescent="0.25">
      <c r="A254">
        <v>13</v>
      </c>
      <c r="B254">
        <v>6</v>
      </c>
      <c r="C254">
        <v>1</v>
      </c>
      <c r="D254">
        <v>319</v>
      </c>
      <c r="E254">
        <v>80</v>
      </c>
      <c r="F254">
        <v>250</v>
      </c>
      <c r="G254">
        <v>4069.9468000093475</v>
      </c>
      <c r="H254" t="s">
        <v>13</v>
      </c>
      <c r="I254">
        <v>124826</v>
      </c>
      <c r="J254">
        <v>448</v>
      </c>
      <c r="K254">
        <v>110</v>
      </c>
      <c r="L254">
        <v>13061</v>
      </c>
      <c r="M254" t="s">
        <v>14</v>
      </c>
    </row>
    <row r="255" spans="1:13" x14ac:dyDescent="0.25">
      <c r="A255">
        <v>13</v>
      </c>
      <c r="B255">
        <v>6</v>
      </c>
      <c r="C255">
        <v>2</v>
      </c>
      <c r="D255">
        <v>391</v>
      </c>
      <c r="E255">
        <v>84</v>
      </c>
      <c r="F255">
        <v>310</v>
      </c>
      <c r="G255">
        <v>311.68670000624843</v>
      </c>
      <c r="H255" t="s">
        <v>13</v>
      </c>
      <c r="I255">
        <v>5896</v>
      </c>
      <c r="J255">
        <v>48</v>
      </c>
      <c r="K255">
        <v>6</v>
      </c>
      <c r="L255">
        <v>13062</v>
      </c>
      <c r="M255" t="s">
        <v>14</v>
      </c>
    </row>
    <row r="256" spans="1:13" x14ac:dyDescent="0.25">
      <c r="A256">
        <v>13</v>
      </c>
      <c r="B256">
        <v>6</v>
      </c>
      <c r="C256">
        <v>3</v>
      </c>
      <c r="D256">
        <v>464</v>
      </c>
      <c r="E256">
        <v>90</v>
      </c>
      <c r="F256">
        <v>370</v>
      </c>
      <c r="G256">
        <v>2808.3004000072833</v>
      </c>
      <c r="H256" t="s">
        <v>13</v>
      </c>
      <c r="I256">
        <v>82439</v>
      </c>
      <c r="J256">
        <v>426</v>
      </c>
      <c r="K256">
        <v>49</v>
      </c>
      <c r="L256">
        <v>13063</v>
      </c>
      <c r="M256" t="s">
        <v>14</v>
      </c>
    </row>
    <row r="257" spans="1:13" x14ac:dyDescent="0.25">
      <c r="A257">
        <v>13</v>
      </c>
      <c r="B257">
        <v>6</v>
      </c>
      <c r="C257">
        <v>5</v>
      </c>
      <c r="D257">
        <v>577</v>
      </c>
      <c r="E257">
        <v>128</v>
      </c>
      <c r="F257">
        <v>418</v>
      </c>
      <c r="G257">
        <v>2467.4233000259846</v>
      </c>
      <c r="H257" t="s">
        <v>13</v>
      </c>
      <c r="I257">
        <v>92785</v>
      </c>
      <c r="J257">
        <v>559</v>
      </c>
      <c r="K257">
        <v>32</v>
      </c>
      <c r="L257">
        <v>13065</v>
      </c>
      <c r="M257" t="s">
        <v>14</v>
      </c>
    </row>
    <row r="258" spans="1:13" x14ac:dyDescent="0.25">
      <c r="A258">
        <v>13</v>
      </c>
      <c r="B258">
        <v>8</v>
      </c>
      <c r="C258">
        <v>1</v>
      </c>
      <c r="D258">
        <v>514</v>
      </c>
      <c r="E258">
        <v>89</v>
      </c>
      <c r="F258">
        <v>277</v>
      </c>
      <c r="G258">
        <v>297.90959999081679</v>
      </c>
      <c r="H258" t="s">
        <v>13</v>
      </c>
      <c r="I258">
        <v>6946</v>
      </c>
      <c r="J258">
        <v>32</v>
      </c>
      <c r="K258">
        <v>5</v>
      </c>
      <c r="L258">
        <v>13081</v>
      </c>
      <c r="M258" t="s">
        <v>14</v>
      </c>
    </row>
    <row r="259" spans="1:13" x14ac:dyDescent="0.25">
      <c r="A259">
        <v>13</v>
      </c>
      <c r="B259">
        <v>8</v>
      </c>
      <c r="C259">
        <v>2</v>
      </c>
      <c r="D259">
        <v>643</v>
      </c>
      <c r="E259">
        <v>102</v>
      </c>
      <c r="F259">
        <v>310</v>
      </c>
      <c r="G259">
        <v>9596.1765000247397</v>
      </c>
      <c r="H259" t="s">
        <v>13</v>
      </c>
      <c r="I259">
        <v>355863</v>
      </c>
      <c r="J259">
        <v>1231</v>
      </c>
      <c r="K259">
        <v>191</v>
      </c>
      <c r="L259">
        <v>13082</v>
      </c>
      <c r="M259" t="s">
        <v>14</v>
      </c>
    </row>
    <row r="260" spans="1:13" x14ac:dyDescent="0.25">
      <c r="A260">
        <v>13</v>
      </c>
      <c r="B260">
        <v>8</v>
      </c>
      <c r="C260">
        <v>3</v>
      </c>
      <c r="D260">
        <v>625</v>
      </c>
      <c r="E260">
        <v>109</v>
      </c>
      <c r="F260">
        <v>358</v>
      </c>
      <c r="G260">
        <v>1702.148499985924</v>
      </c>
      <c r="H260" t="s">
        <v>13</v>
      </c>
      <c r="I260">
        <v>55326</v>
      </c>
      <c r="J260">
        <v>280</v>
      </c>
      <c r="K260">
        <v>28</v>
      </c>
      <c r="L260">
        <v>13083</v>
      </c>
      <c r="M260" t="s">
        <v>14</v>
      </c>
    </row>
    <row r="261" spans="1:13" x14ac:dyDescent="0.25">
      <c r="A261">
        <v>13</v>
      </c>
      <c r="B261">
        <v>8</v>
      </c>
      <c r="C261">
        <v>5</v>
      </c>
      <c r="D261">
        <v>799</v>
      </c>
      <c r="E261">
        <v>117</v>
      </c>
      <c r="F261">
        <v>415</v>
      </c>
      <c r="G261">
        <v>11125.694200018188</v>
      </c>
      <c r="H261" t="s">
        <v>13</v>
      </c>
      <c r="I261">
        <v>474746</v>
      </c>
      <c r="J261">
        <v>2796</v>
      </c>
      <c r="K261">
        <v>139</v>
      </c>
      <c r="L261">
        <v>13085</v>
      </c>
      <c r="M261" t="s">
        <v>14</v>
      </c>
    </row>
    <row r="262" spans="1:13" x14ac:dyDescent="0.25">
      <c r="A262">
        <v>14</v>
      </c>
      <c r="B262">
        <v>2</v>
      </c>
      <c r="C262">
        <v>1</v>
      </c>
      <c r="D262">
        <v>187</v>
      </c>
      <c r="E262">
        <v>101</v>
      </c>
      <c r="F262">
        <v>313</v>
      </c>
      <c r="G262">
        <v>98.989699996309355</v>
      </c>
      <c r="H262" t="s">
        <v>13</v>
      </c>
      <c r="I262">
        <v>3138</v>
      </c>
      <c r="J262">
        <v>8</v>
      </c>
      <c r="K262">
        <v>2</v>
      </c>
      <c r="L262">
        <v>14021</v>
      </c>
      <c r="M262" t="s">
        <v>14</v>
      </c>
    </row>
    <row r="263" spans="1:13" x14ac:dyDescent="0.25">
      <c r="A263">
        <v>14</v>
      </c>
      <c r="B263">
        <v>2</v>
      </c>
      <c r="C263">
        <v>2</v>
      </c>
      <c r="D263">
        <v>135</v>
      </c>
      <c r="E263">
        <v>72</v>
      </c>
      <c r="F263">
        <v>226</v>
      </c>
      <c r="G263">
        <v>744.63260002085008</v>
      </c>
      <c r="H263" t="s">
        <v>13</v>
      </c>
      <c r="I263">
        <v>19490</v>
      </c>
      <c r="J263">
        <v>153</v>
      </c>
      <c r="K263">
        <v>22</v>
      </c>
      <c r="L263">
        <v>14022</v>
      </c>
      <c r="M263" t="s">
        <v>14</v>
      </c>
    </row>
    <row r="264" spans="1:13" x14ac:dyDescent="0.25">
      <c r="A264">
        <v>14</v>
      </c>
      <c r="B264">
        <v>2</v>
      </c>
      <c r="C264">
        <v>3</v>
      </c>
      <c r="D264">
        <v>180</v>
      </c>
      <c r="E264">
        <v>106</v>
      </c>
      <c r="F264">
        <v>382</v>
      </c>
      <c r="G264">
        <v>57.761399977607653</v>
      </c>
      <c r="H264" t="s">
        <v>13</v>
      </c>
      <c r="I264">
        <v>1785</v>
      </c>
      <c r="J264">
        <v>8</v>
      </c>
      <c r="K264">
        <v>1</v>
      </c>
      <c r="L264">
        <v>14023</v>
      </c>
      <c r="M264" t="s">
        <v>14</v>
      </c>
    </row>
    <row r="265" spans="1:13" x14ac:dyDescent="0.25">
      <c r="A265">
        <v>14</v>
      </c>
      <c r="B265">
        <v>2</v>
      </c>
      <c r="C265">
        <v>5</v>
      </c>
      <c r="D265">
        <v>199</v>
      </c>
      <c r="E265">
        <v>108</v>
      </c>
      <c r="F265">
        <v>448</v>
      </c>
      <c r="G265">
        <v>618.28520000563003</v>
      </c>
      <c r="H265" t="s">
        <v>13</v>
      </c>
      <c r="I265">
        <v>25028</v>
      </c>
      <c r="J265">
        <v>165</v>
      </c>
      <c r="K265">
        <v>8</v>
      </c>
      <c r="L265">
        <v>14025</v>
      </c>
      <c r="M265" t="s">
        <v>14</v>
      </c>
    </row>
    <row r="266" spans="1:13" x14ac:dyDescent="0.25">
      <c r="A266">
        <v>14</v>
      </c>
      <c r="B266">
        <v>4</v>
      </c>
      <c r="C266">
        <v>1</v>
      </c>
      <c r="D266">
        <v>256</v>
      </c>
      <c r="E266">
        <v>84</v>
      </c>
      <c r="F266">
        <v>262</v>
      </c>
      <c r="G266">
        <v>126.37399998493493</v>
      </c>
      <c r="H266" t="s">
        <v>13</v>
      </c>
      <c r="I266">
        <v>2900</v>
      </c>
      <c r="J266">
        <v>12</v>
      </c>
      <c r="K266">
        <v>2</v>
      </c>
      <c r="L266">
        <v>14041</v>
      </c>
      <c r="M266" t="s">
        <v>14</v>
      </c>
    </row>
    <row r="267" spans="1:13" x14ac:dyDescent="0.25">
      <c r="A267">
        <v>14</v>
      </c>
      <c r="B267">
        <v>4</v>
      </c>
      <c r="C267">
        <v>2</v>
      </c>
      <c r="D267">
        <v>266</v>
      </c>
      <c r="E267">
        <v>91</v>
      </c>
      <c r="F267">
        <v>310</v>
      </c>
      <c r="G267">
        <v>125.70810000761412</v>
      </c>
      <c r="H267" t="s">
        <v>13</v>
      </c>
      <c r="I267">
        <v>2434</v>
      </c>
      <c r="J267">
        <v>18</v>
      </c>
      <c r="K267">
        <v>2</v>
      </c>
      <c r="L267">
        <v>14042</v>
      </c>
      <c r="M267" t="s">
        <v>14</v>
      </c>
    </row>
    <row r="268" spans="1:13" x14ac:dyDescent="0.25">
      <c r="A268">
        <v>14</v>
      </c>
      <c r="B268">
        <v>4</v>
      </c>
      <c r="C268">
        <v>3</v>
      </c>
      <c r="F268">
        <v>280</v>
      </c>
      <c r="H268" t="s">
        <v>15</v>
      </c>
      <c r="L268">
        <v>14043</v>
      </c>
      <c r="M268" t="s">
        <v>40</v>
      </c>
    </row>
    <row r="269" spans="1:13" x14ac:dyDescent="0.25">
      <c r="A269">
        <v>14</v>
      </c>
      <c r="B269">
        <v>4</v>
      </c>
      <c r="C269">
        <v>5</v>
      </c>
      <c r="D269">
        <v>376</v>
      </c>
      <c r="E269">
        <v>107</v>
      </c>
      <c r="F269">
        <v>373</v>
      </c>
      <c r="G269">
        <v>432.70189999020658</v>
      </c>
      <c r="H269" t="s">
        <v>13</v>
      </c>
      <c r="I269">
        <v>13027</v>
      </c>
      <c r="J269">
        <v>69</v>
      </c>
      <c r="K269">
        <v>3</v>
      </c>
      <c r="L269">
        <v>14045</v>
      </c>
      <c r="M269" t="s">
        <v>14</v>
      </c>
    </row>
    <row r="270" spans="1:13" x14ac:dyDescent="0.25">
      <c r="A270">
        <v>14</v>
      </c>
      <c r="B270">
        <v>5</v>
      </c>
      <c r="C270">
        <v>1</v>
      </c>
      <c r="D270">
        <v>284</v>
      </c>
      <c r="E270">
        <v>70</v>
      </c>
      <c r="F270">
        <v>220</v>
      </c>
      <c r="G270">
        <v>229.34839999652468</v>
      </c>
      <c r="H270" t="s">
        <v>13</v>
      </c>
      <c r="I270">
        <v>4222</v>
      </c>
      <c r="J270">
        <v>22</v>
      </c>
      <c r="K270">
        <v>4</v>
      </c>
      <c r="L270">
        <v>14051</v>
      </c>
      <c r="M270" t="s">
        <v>14</v>
      </c>
    </row>
    <row r="271" spans="1:13" x14ac:dyDescent="0.25">
      <c r="A271">
        <v>14</v>
      </c>
      <c r="B271">
        <v>5</v>
      </c>
      <c r="C271">
        <v>2</v>
      </c>
      <c r="D271">
        <v>327</v>
      </c>
      <c r="E271">
        <v>83</v>
      </c>
      <c r="F271">
        <v>235</v>
      </c>
      <c r="G271">
        <v>2394.5229999953881</v>
      </c>
      <c r="H271" t="s">
        <v>13</v>
      </c>
      <c r="I271">
        <v>88347</v>
      </c>
      <c r="J271">
        <v>400</v>
      </c>
      <c r="K271">
        <v>63</v>
      </c>
      <c r="L271">
        <v>14052</v>
      </c>
      <c r="M271" t="s">
        <v>14</v>
      </c>
    </row>
    <row r="272" spans="1:13" x14ac:dyDescent="0.25">
      <c r="A272">
        <v>14</v>
      </c>
      <c r="B272">
        <v>5</v>
      </c>
      <c r="C272">
        <v>3</v>
      </c>
      <c r="D272">
        <v>423</v>
      </c>
      <c r="E272">
        <v>105</v>
      </c>
      <c r="F272">
        <v>319</v>
      </c>
      <c r="G272">
        <v>256.70100000570528</v>
      </c>
      <c r="H272" t="s">
        <v>13</v>
      </c>
      <c r="I272">
        <v>6435</v>
      </c>
      <c r="J272">
        <v>39</v>
      </c>
      <c r="K272">
        <v>3</v>
      </c>
      <c r="L272">
        <v>14053</v>
      </c>
      <c r="M272" t="s">
        <v>14</v>
      </c>
    </row>
    <row r="273" spans="1:13" x14ac:dyDescent="0.25">
      <c r="A273">
        <v>14</v>
      </c>
      <c r="B273">
        <v>5</v>
      </c>
      <c r="C273">
        <v>5</v>
      </c>
      <c r="D273">
        <v>483</v>
      </c>
      <c r="E273">
        <v>105</v>
      </c>
      <c r="F273">
        <v>457</v>
      </c>
      <c r="G273">
        <v>41856.799300003331</v>
      </c>
      <c r="H273" t="s">
        <v>13</v>
      </c>
      <c r="I273">
        <v>2437101</v>
      </c>
      <c r="J273">
        <v>6807</v>
      </c>
      <c r="K273">
        <v>408</v>
      </c>
      <c r="L273">
        <v>14055</v>
      </c>
      <c r="M273" t="s">
        <v>14</v>
      </c>
    </row>
    <row r="274" spans="1:13" x14ac:dyDescent="0.25">
      <c r="A274">
        <v>14</v>
      </c>
      <c r="B274">
        <v>6</v>
      </c>
      <c r="C274">
        <v>1</v>
      </c>
      <c r="D274">
        <v>309</v>
      </c>
      <c r="E274">
        <v>75</v>
      </c>
      <c r="F274">
        <v>235</v>
      </c>
      <c r="G274">
        <v>182.30519999633543</v>
      </c>
      <c r="H274" t="s">
        <v>13</v>
      </c>
      <c r="I274">
        <v>3263</v>
      </c>
      <c r="J274">
        <v>24</v>
      </c>
      <c r="K274">
        <v>4</v>
      </c>
      <c r="L274">
        <v>14061</v>
      </c>
      <c r="M274" t="s">
        <v>14</v>
      </c>
    </row>
    <row r="275" spans="1:13" x14ac:dyDescent="0.25">
      <c r="A275">
        <v>14</v>
      </c>
      <c r="B275">
        <v>6</v>
      </c>
      <c r="C275">
        <v>2</v>
      </c>
      <c r="D275">
        <v>385</v>
      </c>
      <c r="E275">
        <v>82</v>
      </c>
      <c r="F275">
        <v>328</v>
      </c>
      <c r="G275">
        <v>296.13669999525882</v>
      </c>
      <c r="H275" t="s">
        <v>13</v>
      </c>
      <c r="I275">
        <v>5829</v>
      </c>
      <c r="J275">
        <v>44</v>
      </c>
      <c r="K275">
        <v>5</v>
      </c>
      <c r="L275">
        <v>14062</v>
      </c>
      <c r="M275" t="s">
        <v>14</v>
      </c>
    </row>
    <row r="276" spans="1:13" x14ac:dyDescent="0.25">
      <c r="A276">
        <v>14</v>
      </c>
      <c r="B276">
        <v>6</v>
      </c>
      <c r="C276">
        <v>3</v>
      </c>
      <c r="D276">
        <v>499</v>
      </c>
      <c r="E276">
        <v>93</v>
      </c>
      <c r="F276">
        <v>322</v>
      </c>
      <c r="G276">
        <v>15302.041899994947</v>
      </c>
      <c r="H276" t="s">
        <v>13</v>
      </c>
      <c r="I276">
        <v>788329</v>
      </c>
      <c r="J276">
        <v>2069</v>
      </c>
      <c r="K276">
        <v>241</v>
      </c>
      <c r="L276">
        <v>14063</v>
      </c>
      <c r="M276" t="s">
        <v>14</v>
      </c>
    </row>
    <row r="277" spans="1:13" x14ac:dyDescent="0.25">
      <c r="A277">
        <v>14</v>
      </c>
      <c r="B277">
        <v>6</v>
      </c>
      <c r="C277">
        <v>5</v>
      </c>
      <c r="D277">
        <v>562</v>
      </c>
      <c r="E277">
        <v>116</v>
      </c>
      <c r="F277">
        <v>448</v>
      </c>
      <c r="G277">
        <v>9421.5535999974236</v>
      </c>
      <c r="H277" t="s">
        <v>13</v>
      </c>
      <c r="I277">
        <v>1168890</v>
      </c>
      <c r="J277">
        <v>282</v>
      </c>
      <c r="K277">
        <v>14</v>
      </c>
      <c r="L277">
        <v>14065</v>
      </c>
      <c r="M277" t="s">
        <v>14</v>
      </c>
    </row>
    <row r="278" spans="1:13" x14ac:dyDescent="0.25">
      <c r="A278">
        <v>14</v>
      </c>
      <c r="B278">
        <v>8</v>
      </c>
      <c r="C278">
        <v>1</v>
      </c>
      <c r="D278">
        <v>462</v>
      </c>
      <c r="E278">
        <v>82</v>
      </c>
      <c r="F278">
        <v>250</v>
      </c>
      <c r="G278">
        <v>396.94050000980496</v>
      </c>
      <c r="H278" t="s">
        <v>13</v>
      </c>
      <c r="I278">
        <v>13123</v>
      </c>
      <c r="J278">
        <v>44</v>
      </c>
      <c r="K278">
        <v>8</v>
      </c>
      <c r="L278">
        <v>14081</v>
      </c>
      <c r="M278" t="s">
        <v>14</v>
      </c>
    </row>
    <row r="279" spans="1:13" x14ac:dyDescent="0.25">
      <c r="A279">
        <v>14</v>
      </c>
      <c r="B279">
        <v>8</v>
      </c>
      <c r="C279">
        <v>2</v>
      </c>
      <c r="F279">
        <v>268</v>
      </c>
      <c r="H279" t="s">
        <v>15</v>
      </c>
      <c r="L279">
        <v>14082</v>
      </c>
      <c r="M279" t="s">
        <v>40</v>
      </c>
    </row>
    <row r="280" spans="1:13" x14ac:dyDescent="0.25">
      <c r="A280">
        <v>14</v>
      </c>
      <c r="B280">
        <v>8</v>
      </c>
      <c r="C280">
        <v>3</v>
      </c>
      <c r="D280">
        <v>644</v>
      </c>
      <c r="E280">
        <v>94</v>
      </c>
      <c r="F280">
        <v>364</v>
      </c>
      <c r="G280">
        <v>110314.41629998153</v>
      </c>
      <c r="H280" t="s">
        <v>13</v>
      </c>
      <c r="I280">
        <v>7089073</v>
      </c>
      <c r="J280">
        <v>14647</v>
      </c>
      <c r="K280">
        <v>1329</v>
      </c>
      <c r="L280">
        <v>14083</v>
      </c>
      <c r="M280" t="s">
        <v>14</v>
      </c>
    </row>
    <row r="281" spans="1:13" x14ac:dyDescent="0.25">
      <c r="A281">
        <v>14</v>
      </c>
      <c r="B281">
        <v>8</v>
      </c>
      <c r="C281">
        <v>5</v>
      </c>
      <c r="F281">
        <v>457</v>
      </c>
      <c r="H281" t="s">
        <v>15</v>
      </c>
      <c r="L281">
        <v>14085</v>
      </c>
      <c r="M281" t="s">
        <v>40</v>
      </c>
    </row>
    <row r="282" spans="1:13" x14ac:dyDescent="0.25">
      <c r="A282">
        <v>15</v>
      </c>
      <c r="B282">
        <v>2</v>
      </c>
      <c r="C282">
        <v>1</v>
      </c>
      <c r="D282">
        <v>123</v>
      </c>
      <c r="E282">
        <v>69</v>
      </c>
      <c r="F282">
        <v>217</v>
      </c>
      <c r="G282">
        <v>88.200400001369417</v>
      </c>
      <c r="H282" t="s">
        <v>13</v>
      </c>
      <c r="I282">
        <v>2183</v>
      </c>
      <c r="J282">
        <v>12</v>
      </c>
      <c r="K282">
        <v>3</v>
      </c>
      <c r="L282">
        <v>15021</v>
      </c>
      <c r="M282" t="s">
        <v>14</v>
      </c>
    </row>
    <row r="283" spans="1:13" x14ac:dyDescent="0.25">
      <c r="A283">
        <v>15</v>
      </c>
      <c r="B283">
        <v>2</v>
      </c>
      <c r="C283">
        <v>2</v>
      </c>
      <c r="D283">
        <v>109</v>
      </c>
      <c r="E283">
        <v>68</v>
      </c>
      <c r="F283">
        <v>262</v>
      </c>
      <c r="G283">
        <v>35.053100000368431</v>
      </c>
      <c r="H283" t="s">
        <v>13</v>
      </c>
      <c r="I283">
        <v>809</v>
      </c>
      <c r="J283">
        <v>7</v>
      </c>
      <c r="K283">
        <v>1</v>
      </c>
      <c r="L283">
        <v>15022</v>
      </c>
      <c r="M283" t="s">
        <v>14</v>
      </c>
    </row>
    <row r="284" spans="1:13" x14ac:dyDescent="0.25">
      <c r="A284">
        <v>15</v>
      </c>
      <c r="B284">
        <v>2</v>
      </c>
      <c r="C284">
        <v>3</v>
      </c>
      <c r="D284">
        <v>167</v>
      </c>
      <c r="E284">
        <v>84</v>
      </c>
      <c r="F284">
        <v>331</v>
      </c>
      <c r="G284">
        <v>48.264899989590049</v>
      </c>
      <c r="H284" t="s">
        <v>13</v>
      </c>
      <c r="I284">
        <v>1593</v>
      </c>
      <c r="J284">
        <v>8</v>
      </c>
      <c r="K284">
        <v>1</v>
      </c>
      <c r="L284">
        <v>15023</v>
      </c>
      <c r="M284" t="s">
        <v>14</v>
      </c>
    </row>
    <row r="285" spans="1:13" x14ac:dyDescent="0.25">
      <c r="A285">
        <v>15</v>
      </c>
      <c r="B285">
        <v>2</v>
      </c>
      <c r="C285">
        <v>5</v>
      </c>
      <c r="D285">
        <v>171</v>
      </c>
      <c r="E285">
        <v>88</v>
      </c>
      <c r="F285">
        <v>349</v>
      </c>
      <c r="G285">
        <v>57.552400015993044</v>
      </c>
      <c r="H285" t="s">
        <v>13</v>
      </c>
      <c r="I285">
        <v>1536</v>
      </c>
      <c r="J285">
        <v>13</v>
      </c>
      <c r="K285">
        <v>1</v>
      </c>
      <c r="L285">
        <v>15025</v>
      </c>
      <c r="M285" t="s">
        <v>14</v>
      </c>
    </row>
    <row r="286" spans="1:13" x14ac:dyDescent="0.25">
      <c r="A286">
        <v>15</v>
      </c>
      <c r="B286">
        <v>4</v>
      </c>
      <c r="C286">
        <v>1</v>
      </c>
      <c r="D286">
        <v>197</v>
      </c>
      <c r="E286">
        <v>66</v>
      </c>
      <c r="F286">
        <v>208</v>
      </c>
      <c r="G286">
        <v>141.99020000523888</v>
      </c>
      <c r="H286" t="s">
        <v>13</v>
      </c>
      <c r="I286">
        <v>3563</v>
      </c>
      <c r="J286">
        <v>20</v>
      </c>
      <c r="K286">
        <v>4</v>
      </c>
      <c r="L286">
        <v>15041</v>
      </c>
      <c r="M286" t="s">
        <v>14</v>
      </c>
    </row>
    <row r="287" spans="1:13" x14ac:dyDescent="0.25">
      <c r="A287">
        <v>15</v>
      </c>
      <c r="B287">
        <v>4</v>
      </c>
      <c r="C287">
        <v>2</v>
      </c>
      <c r="D287">
        <v>277</v>
      </c>
      <c r="E287">
        <v>86</v>
      </c>
      <c r="F287">
        <v>322</v>
      </c>
      <c r="G287">
        <v>1436.5295000025071</v>
      </c>
      <c r="H287" t="s">
        <v>13</v>
      </c>
      <c r="I287">
        <v>36674</v>
      </c>
      <c r="J287">
        <v>223</v>
      </c>
      <c r="K287">
        <v>32</v>
      </c>
      <c r="L287">
        <v>15042</v>
      </c>
      <c r="M287" t="s">
        <v>14</v>
      </c>
    </row>
    <row r="288" spans="1:13" x14ac:dyDescent="0.25">
      <c r="A288">
        <v>15</v>
      </c>
      <c r="B288">
        <v>4</v>
      </c>
      <c r="C288">
        <v>3</v>
      </c>
      <c r="D288">
        <v>383</v>
      </c>
      <c r="E288">
        <v>110</v>
      </c>
      <c r="F288">
        <v>340</v>
      </c>
      <c r="G288">
        <v>1064.225299982354</v>
      </c>
      <c r="H288" t="s">
        <v>13</v>
      </c>
      <c r="I288">
        <v>42729</v>
      </c>
      <c r="J288">
        <v>167</v>
      </c>
      <c r="K288">
        <v>19</v>
      </c>
      <c r="L288">
        <v>15043</v>
      </c>
      <c r="M288" t="s">
        <v>14</v>
      </c>
    </row>
    <row r="289" spans="1:13" x14ac:dyDescent="0.25">
      <c r="A289">
        <v>15</v>
      </c>
      <c r="B289">
        <v>4</v>
      </c>
      <c r="C289">
        <v>5</v>
      </c>
      <c r="D289">
        <v>376</v>
      </c>
      <c r="E289">
        <v>108</v>
      </c>
      <c r="F289">
        <v>412</v>
      </c>
      <c r="G289">
        <v>58392.55309998407</v>
      </c>
      <c r="H289" t="s">
        <v>13</v>
      </c>
      <c r="I289">
        <v>7475213</v>
      </c>
      <c r="J289">
        <v>2022</v>
      </c>
      <c r="K289">
        <v>136</v>
      </c>
      <c r="L289">
        <v>15045</v>
      </c>
      <c r="M289" t="s">
        <v>14</v>
      </c>
    </row>
    <row r="290" spans="1:13" x14ac:dyDescent="0.25">
      <c r="A290">
        <v>15</v>
      </c>
      <c r="B290">
        <v>5</v>
      </c>
      <c r="C290">
        <v>1</v>
      </c>
      <c r="D290">
        <v>253</v>
      </c>
      <c r="E290">
        <v>65</v>
      </c>
      <c r="F290">
        <v>205</v>
      </c>
      <c r="G290">
        <v>94.685299991397187</v>
      </c>
      <c r="H290" t="s">
        <v>13</v>
      </c>
      <c r="I290">
        <v>2117</v>
      </c>
      <c r="J290">
        <v>14</v>
      </c>
      <c r="K290">
        <v>2</v>
      </c>
      <c r="L290">
        <v>15051</v>
      </c>
      <c r="M290" t="s">
        <v>14</v>
      </c>
    </row>
    <row r="291" spans="1:13" x14ac:dyDescent="0.25">
      <c r="A291">
        <v>15</v>
      </c>
      <c r="B291">
        <v>5</v>
      </c>
      <c r="C291">
        <v>2</v>
      </c>
      <c r="D291">
        <v>360</v>
      </c>
      <c r="E291">
        <v>87</v>
      </c>
      <c r="F291">
        <v>271</v>
      </c>
      <c r="G291">
        <v>3439.0491000085603</v>
      </c>
      <c r="H291" t="s">
        <v>13</v>
      </c>
      <c r="I291">
        <v>112567</v>
      </c>
      <c r="J291">
        <v>518</v>
      </c>
      <c r="K291">
        <v>84</v>
      </c>
      <c r="L291">
        <v>15052</v>
      </c>
      <c r="M291" t="s">
        <v>14</v>
      </c>
    </row>
    <row r="292" spans="1:13" x14ac:dyDescent="0.25">
      <c r="A292">
        <v>15</v>
      </c>
      <c r="B292">
        <v>5</v>
      </c>
      <c r="C292">
        <v>3</v>
      </c>
      <c r="D292">
        <v>438</v>
      </c>
      <c r="E292">
        <v>100</v>
      </c>
      <c r="F292">
        <v>304</v>
      </c>
      <c r="G292">
        <v>157.4096999829635</v>
      </c>
      <c r="H292" t="s">
        <v>13</v>
      </c>
      <c r="I292">
        <v>4968</v>
      </c>
      <c r="J292">
        <v>32</v>
      </c>
      <c r="K292">
        <v>2</v>
      </c>
      <c r="L292">
        <v>15053</v>
      </c>
      <c r="M292" t="s">
        <v>14</v>
      </c>
    </row>
    <row r="293" spans="1:13" x14ac:dyDescent="0.25">
      <c r="A293">
        <v>15</v>
      </c>
      <c r="B293">
        <v>5</v>
      </c>
      <c r="C293">
        <v>5</v>
      </c>
      <c r="D293">
        <v>443</v>
      </c>
      <c r="E293">
        <v>114</v>
      </c>
      <c r="F293">
        <v>382</v>
      </c>
      <c r="G293">
        <v>3889.9840000085533</v>
      </c>
      <c r="H293" t="s">
        <v>13</v>
      </c>
      <c r="I293">
        <v>372203</v>
      </c>
      <c r="J293">
        <v>256</v>
      </c>
      <c r="K293">
        <v>13</v>
      </c>
      <c r="L293">
        <v>15055</v>
      </c>
      <c r="M293" t="s">
        <v>14</v>
      </c>
    </row>
    <row r="294" spans="1:13" x14ac:dyDescent="0.25">
      <c r="A294">
        <v>15</v>
      </c>
      <c r="B294">
        <v>6</v>
      </c>
      <c r="C294">
        <v>1</v>
      </c>
      <c r="D294">
        <v>272</v>
      </c>
      <c r="E294">
        <v>59</v>
      </c>
      <c r="F294">
        <v>187</v>
      </c>
      <c r="G294">
        <v>395.40919999126345</v>
      </c>
      <c r="H294" t="s">
        <v>13</v>
      </c>
      <c r="I294">
        <v>7339</v>
      </c>
      <c r="J294">
        <v>64</v>
      </c>
      <c r="K294">
        <v>14</v>
      </c>
      <c r="L294">
        <v>15061</v>
      </c>
      <c r="M294" t="s">
        <v>14</v>
      </c>
    </row>
    <row r="295" spans="1:13" x14ac:dyDescent="0.25">
      <c r="A295">
        <v>15</v>
      </c>
      <c r="B295">
        <v>6</v>
      </c>
      <c r="C295">
        <v>2</v>
      </c>
      <c r="D295">
        <v>497</v>
      </c>
      <c r="E295">
        <v>126</v>
      </c>
      <c r="F295">
        <v>388</v>
      </c>
      <c r="G295">
        <v>8372.7901000238489</v>
      </c>
      <c r="H295" t="s">
        <v>13</v>
      </c>
      <c r="I295">
        <v>204636</v>
      </c>
      <c r="J295">
        <v>816</v>
      </c>
      <c r="K295">
        <v>134</v>
      </c>
      <c r="L295">
        <v>15062</v>
      </c>
      <c r="M295" t="s">
        <v>14</v>
      </c>
    </row>
    <row r="296" spans="1:13" x14ac:dyDescent="0.25">
      <c r="A296">
        <v>15</v>
      </c>
      <c r="B296">
        <v>6</v>
      </c>
      <c r="C296">
        <v>3</v>
      </c>
      <c r="F296">
        <v>346</v>
      </c>
      <c r="H296" t="s">
        <v>15</v>
      </c>
      <c r="L296">
        <v>15063</v>
      </c>
      <c r="M296" t="s">
        <v>40</v>
      </c>
    </row>
    <row r="297" spans="1:13" x14ac:dyDescent="0.25">
      <c r="A297">
        <v>15</v>
      </c>
      <c r="B297">
        <v>6</v>
      </c>
      <c r="C297">
        <v>5</v>
      </c>
      <c r="F297">
        <v>427</v>
      </c>
      <c r="H297" t="s">
        <v>15</v>
      </c>
      <c r="L297">
        <v>15065</v>
      </c>
      <c r="M297" t="s">
        <v>40</v>
      </c>
    </row>
    <row r="298" spans="1:13" x14ac:dyDescent="0.25">
      <c r="A298">
        <v>15</v>
      </c>
      <c r="B298">
        <v>8</v>
      </c>
      <c r="C298">
        <v>1</v>
      </c>
      <c r="D298">
        <v>482</v>
      </c>
      <c r="E298">
        <v>93</v>
      </c>
      <c r="F298">
        <v>289</v>
      </c>
      <c r="G298">
        <v>357.96140000456944</v>
      </c>
      <c r="H298" t="s">
        <v>13</v>
      </c>
      <c r="I298">
        <v>5621</v>
      </c>
      <c r="J298">
        <v>28</v>
      </c>
      <c r="K298">
        <v>4</v>
      </c>
      <c r="L298">
        <v>15081</v>
      </c>
      <c r="M298" t="s">
        <v>14</v>
      </c>
    </row>
    <row r="299" spans="1:13" x14ac:dyDescent="0.25">
      <c r="A299">
        <v>15</v>
      </c>
      <c r="B299">
        <v>8</v>
      </c>
      <c r="C299">
        <v>2</v>
      </c>
      <c r="D299">
        <v>578</v>
      </c>
      <c r="E299">
        <v>99</v>
      </c>
      <c r="F299">
        <v>307</v>
      </c>
      <c r="G299">
        <v>49914.803399995435</v>
      </c>
      <c r="H299" t="s">
        <v>13</v>
      </c>
      <c r="I299">
        <v>1779290</v>
      </c>
      <c r="J299">
        <v>6036</v>
      </c>
      <c r="K299">
        <v>955</v>
      </c>
      <c r="L299">
        <v>15082</v>
      </c>
      <c r="M299" t="s">
        <v>14</v>
      </c>
    </row>
    <row r="300" spans="1:13" x14ac:dyDescent="0.25">
      <c r="A300">
        <v>15</v>
      </c>
      <c r="B300">
        <v>8</v>
      </c>
      <c r="C300">
        <v>3</v>
      </c>
      <c r="F300">
        <v>352</v>
      </c>
      <c r="H300" t="s">
        <v>15</v>
      </c>
      <c r="L300">
        <v>15083</v>
      </c>
      <c r="M300" t="s">
        <v>40</v>
      </c>
    </row>
    <row r="301" spans="1:13" x14ac:dyDescent="0.25">
      <c r="A301">
        <v>15</v>
      </c>
      <c r="B301">
        <v>8</v>
      </c>
      <c r="C301">
        <v>5</v>
      </c>
      <c r="D301">
        <v>718</v>
      </c>
      <c r="E301">
        <v>106</v>
      </c>
      <c r="F301">
        <v>436</v>
      </c>
      <c r="G301">
        <v>5000.919599988265</v>
      </c>
      <c r="H301" t="s">
        <v>13</v>
      </c>
      <c r="I301">
        <v>129392</v>
      </c>
      <c r="J301">
        <v>840</v>
      </c>
      <c r="K301">
        <v>47</v>
      </c>
      <c r="L301">
        <v>15085</v>
      </c>
      <c r="M301" t="s">
        <v>14</v>
      </c>
    </row>
    <row r="302" spans="1:13" x14ac:dyDescent="0.25">
      <c r="A302">
        <v>16</v>
      </c>
      <c r="B302">
        <v>2</v>
      </c>
      <c r="C302">
        <v>1</v>
      </c>
      <c r="D302">
        <v>127</v>
      </c>
      <c r="E302">
        <v>69</v>
      </c>
      <c r="F302">
        <v>217</v>
      </c>
      <c r="G302">
        <v>53.801899979589507</v>
      </c>
      <c r="H302" t="s">
        <v>13</v>
      </c>
      <c r="I302">
        <v>776</v>
      </c>
      <c r="J302">
        <v>4</v>
      </c>
      <c r="K302">
        <v>1</v>
      </c>
      <c r="L302">
        <v>16021</v>
      </c>
      <c r="M302" t="s">
        <v>14</v>
      </c>
    </row>
    <row r="303" spans="1:13" x14ac:dyDescent="0.25">
      <c r="A303">
        <v>16</v>
      </c>
      <c r="B303">
        <v>2</v>
      </c>
      <c r="C303">
        <v>2</v>
      </c>
      <c r="D303">
        <v>115</v>
      </c>
      <c r="E303">
        <v>58</v>
      </c>
      <c r="F303">
        <v>178</v>
      </c>
      <c r="G303">
        <v>49.721599993063137</v>
      </c>
      <c r="H303" t="s">
        <v>13</v>
      </c>
      <c r="I303">
        <v>926</v>
      </c>
      <c r="J303">
        <v>6</v>
      </c>
      <c r="K303">
        <v>1</v>
      </c>
      <c r="L303">
        <v>16022</v>
      </c>
      <c r="M303" t="s">
        <v>14</v>
      </c>
    </row>
    <row r="304" spans="1:13" x14ac:dyDescent="0.25">
      <c r="A304">
        <v>16</v>
      </c>
      <c r="B304">
        <v>2</v>
      </c>
      <c r="C304">
        <v>3</v>
      </c>
      <c r="D304">
        <v>142</v>
      </c>
      <c r="E304">
        <v>78</v>
      </c>
      <c r="F304">
        <v>280</v>
      </c>
      <c r="G304">
        <v>57.414799986872822</v>
      </c>
      <c r="H304" t="s">
        <v>13</v>
      </c>
      <c r="I304">
        <v>1369</v>
      </c>
      <c r="J304">
        <v>8</v>
      </c>
      <c r="K304">
        <v>1</v>
      </c>
      <c r="L304">
        <v>16023</v>
      </c>
      <c r="M304" t="s">
        <v>14</v>
      </c>
    </row>
    <row r="305" spans="1:13" x14ac:dyDescent="0.25">
      <c r="A305">
        <v>16</v>
      </c>
      <c r="B305">
        <v>2</v>
      </c>
      <c r="C305">
        <v>5</v>
      </c>
      <c r="D305">
        <v>192</v>
      </c>
      <c r="E305">
        <v>103</v>
      </c>
      <c r="F305">
        <v>421</v>
      </c>
      <c r="G305">
        <v>541.24389999196865</v>
      </c>
      <c r="H305" t="s">
        <v>13</v>
      </c>
      <c r="I305">
        <v>17950</v>
      </c>
      <c r="J305">
        <v>121</v>
      </c>
      <c r="K305">
        <v>7</v>
      </c>
      <c r="L305">
        <v>16025</v>
      </c>
      <c r="M305" t="s">
        <v>14</v>
      </c>
    </row>
    <row r="306" spans="1:13" x14ac:dyDescent="0.25">
      <c r="A306">
        <v>16</v>
      </c>
      <c r="B306">
        <v>4</v>
      </c>
      <c r="C306">
        <v>1</v>
      </c>
      <c r="D306">
        <v>176</v>
      </c>
      <c r="E306">
        <v>79</v>
      </c>
      <c r="F306">
        <v>247</v>
      </c>
      <c r="G306">
        <v>100.54899999522604</v>
      </c>
      <c r="H306" t="s">
        <v>13</v>
      </c>
      <c r="I306">
        <v>1246</v>
      </c>
      <c r="J306">
        <v>12</v>
      </c>
      <c r="K306">
        <v>2</v>
      </c>
      <c r="L306">
        <v>16041</v>
      </c>
      <c r="M306" t="s">
        <v>14</v>
      </c>
    </row>
    <row r="307" spans="1:13" x14ac:dyDescent="0.25">
      <c r="A307">
        <v>16</v>
      </c>
      <c r="B307">
        <v>4</v>
      </c>
      <c r="C307">
        <v>2</v>
      </c>
      <c r="D307">
        <v>248</v>
      </c>
      <c r="E307">
        <v>79</v>
      </c>
      <c r="F307">
        <v>247</v>
      </c>
      <c r="G307">
        <v>159.20959998038597</v>
      </c>
      <c r="H307" t="s">
        <v>13</v>
      </c>
      <c r="I307">
        <v>3046</v>
      </c>
      <c r="J307">
        <v>24</v>
      </c>
      <c r="K307">
        <v>3</v>
      </c>
      <c r="L307">
        <v>16042</v>
      </c>
      <c r="M307" t="s">
        <v>14</v>
      </c>
    </row>
    <row r="308" spans="1:13" x14ac:dyDescent="0.25">
      <c r="A308">
        <v>16</v>
      </c>
      <c r="B308">
        <v>4</v>
      </c>
      <c r="C308">
        <v>3</v>
      </c>
      <c r="D308">
        <v>359</v>
      </c>
      <c r="E308">
        <v>112</v>
      </c>
      <c r="F308">
        <v>334</v>
      </c>
      <c r="G308">
        <v>857.55819999030791</v>
      </c>
      <c r="H308" t="s">
        <v>13</v>
      </c>
      <c r="I308">
        <v>22207</v>
      </c>
      <c r="J308">
        <v>131</v>
      </c>
      <c r="K308">
        <v>15</v>
      </c>
      <c r="L308">
        <v>16043</v>
      </c>
      <c r="M308" t="s">
        <v>14</v>
      </c>
    </row>
    <row r="309" spans="1:13" x14ac:dyDescent="0.25">
      <c r="A309">
        <v>16</v>
      </c>
      <c r="B309">
        <v>4</v>
      </c>
      <c r="C309">
        <v>5</v>
      </c>
      <c r="D309">
        <v>362</v>
      </c>
      <c r="E309">
        <v>108</v>
      </c>
      <c r="F309">
        <v>376</v>
      </c>
      <c r="G309">
        <v>884.37980000162497</v>
      </c>
      <c r="H309" t="s">
        <v>13</v>
      </c>
      <c r="I309">
        <v>28393</v>
      </c>
      <c r="J309">
        <v>161</v>
      </c>
      <c r="K309">
        <v>10</v>
      </c>
      <c r="L309">
        <v>16045</v>
      </c>
      <c r="M309" t="s">
        <v>14</v>
      </c>
    </row>
    <row r="310" spans="1:13" x14ac:dyDescent="0.25">
      <c r="A310">
        <v>16</v>
      </c>
      <c r="B310">
        <v>5</v>
      </c>
      <c r="C310">
        <v>1</v>
      </c>
      <c r="D310">
        <v>282</v>
      </c>
      <c r="E310">
        <v>88</v>
      </c>
      <c r="F310">
        <v>274</v>
      </c>
      <c r="G310">
        <v>273.04309999453835</v>
      </c>
      <c r="H310" t="s">
        <v>13</v>
      </c>
      <c r="I310">
        <v>4610</v>
      </c>
      <c r="J310">
        <v>26</v>
      </c>
      <c r="K310">
        <v>5</v>
      </c>
      <c r="L310">
        <v>16051</v>
      </c>
      <c r="M310" t="s">
        <v>14</v>
      </c>
    </row>
    <row r="311" spans="1:13" x14ac:dyDescent="0.25">
      <c r="A311">
        <v>16</v>
      </c>
      <c r="B311">
        <v>5</v>
      </c>
      <c r="C311">
        <v>2</v>
      </c>
      <c r="D311">
        <v>375</v>
      </c>
      <c r="E311">
        <v>93</v>
      </c>
      <c r="F311">
        <v>331</v>
      </c>
      <c r="G311">
        <v>646.95679998840205</v>
      </c>
      <c r="H311" t="s">
        <v>13</v>
      </c>
      <c r="I311">
        <v>12968</v>
      </c>
      <c r="J311">
        <v>69</v>
      </c>
      <c r="K311">
        <v>10</v>
      </c>
      <c r="L311">
        <v>16052</v>
      </c>
      <c r="M311" t="s">
        <v>14</v>
      </c>
    </row>
    <row r="312" spans="1:13" x14ac:dyDescent="0.25">
      <c r="A312">
        <v>16</v>
      </c>
      <c r="B312">
        <v>5</v>
      </c>
      <c r="C312">
        <v>3</v>
      </c>
      <c r="D312">
        <v>450</v>
      </c>
      <c r="E312">
        <v>105</v>
      </c>
      <c r="F312">
        <v>337</v>
      </c>
      <c r="G312">
        <v>584.65059997979552</v>
      </c>
      <c r="H312" t="s">
        <v>13</v>
      </c>
      <c r="I312">
        <v>16691</v>
      </c>
      <c r="J312">
        <v>88</v>
      </c>
      <c r="K312">
        <v>9</v>
      </c>
      <c r="L312">
        <v>16053</v>
      </c>
      <c r="M312" t="s">
        <v>14</v>
      </c>
    </row>
    <row r="313" spans="1:13" x14ac:dyDescent="0.25">
      <c r="A313">
        <v>16</v>
      </c>
      <c r="B313">
        <v>5</v>
      </c>
      <c r="C313">
        <v>5</v>
      </c>
      <c r="D313">
        <v>497</v>
      </c>
      <c r="E313">
        <v>129</v>
      </c>
      <c r="F313">
        <v>493</v>
      </c>
      <c r="G313">
        <v>426.32040000171401</v>
      </c>
      <c r="H313" t="s">
        <v>13</v>
      </c>
      <c r="I313">
        <v>14869</v>
      </c>
      <c r="J313">
        <v>96</v>
      </c>
      <c r="K313">
        <v>4</v>
      </c>
      <c r="L313">
        <v>16055</v>
      </c>
      <c r="M313" t="s">
        <v>14</v>
      </c>
    </row>
    <row r="314" spans="1:13" x14ac:dyDescent="0.25">
      <c r="A314">
        <v>16</v>
      </c>
      <c r="B314">
        <v>6</v>
      </c>
      <c r="C314">
        <v>1</v>
      </c>
      <c r="D314">
        <v>374</v>
      </c>
      <c r="E314">
        <v>81</v>
      </c>
      <c r="F314">
        <v>253</v>
      </c>
      <c r="G314">
        <v>130.00259999535047</v>
      </c>
      <c r="H314" t="s">
        <v>13</v>
      </c>
      <c r="I314">
        <v>2721</v>
      </c>
      <c r="J314">
        <v>16</v>
      </c>
      <c r="K314">
        <v>2</v>
      </c>
      <c r="L314">
        <v>16061</v>
      </c>
      <c r="M314" t="s">
        <v>14</v>
      </c>
    </row>
    <row r="315" spans="1:13" x14ac:dyDescent="0.25">
      <c r="A315">
        <v>16</v>
      </c>
      <c r="B315">
        <v>6</v>
      </c>
      <c r="C315">
        <v>2</v>
      </c>
      <c r="D315">
        <v>432</v>
      </c>
      <c r="E315">
        <v>97</v>
      </c>
      <c r="F315">
        <v>301</v>
      </c>
      <c r="G315">
        <v>353.0789999931585</v>
      </c>
      <c r="H315" t="s">
        <v>13</v>
      </c>
      <c r="I315">
        <v>7914</v>
      </c>
      <c r="J315">
        <v>48</v>
      </c>
      <c r="K315">
        <v>6</v>
      </c>
      <c r="L315">
        <v>16062</v>
      </c>
      <c r="M315" t="s">
        <v>14</v>
      </c>
    </row>
    <row r="316" spans="1:13" x14ac:dyDescent="0.25">
      <c r="A316">
        <v>16</v>
      </c>
      <c r="B316">
        <v>6</v>
      </c>
      <c r="C316">
        <v>3</v>
      </c>
      <c r="D316">
        <v>504</v>
      </c>
      <c r="E316">
        <v>111</v>
      </c>
      <c r="F316">
        <v>367</v>
      </c>
      <c r="G316">
        <v>604.41509998054244</v>
      </c>
      <c r="H316" t="s">
        <v>13</v>
      </c>
      <c r="I316">
        <v>15611</v>
      </c>
      <c r="J316">
        <v>82</v>
      </c>
      <c r="K316">
        <v>8</v>
      </c>
      <c r="L316">
        <v>16063</v>
      </c>
      <c r="M316" t="s">
        <v>14</v>
      </c>
    </row>
    <row r="317" spans="1:13" x14ac:dyDescent="0.25">
      <c r="A317">
        <v>16</v>
      </c>
      <c r="B317">
        <v>6</v>
      </c>
      <c r="C317">
        <v>5</v>
      </c>
      <c r="D317">
        <v>601</v>
      </c>
      <c r="E317">
        <v>125</v>
      </c>
      <c r="F317">
        <v>445</v>
      </c>
      <c r="G317">
        <v>4173.5205000150017</v>
      </c>
      <c r="H317" t="s">
        <v>13</v>
      </c>
      <c r="I317">
        <v>168420</v>
      </c>
      <c r="J317">
        <v>890</v>
      </c>
      <c r="K317">
        <v>55</v>
      </c>
      <c r="L317">
        <v>16065</v>
      </c>
      <c r="M317" t="s">
        <v>14</v>
      </c>
    </row>
    <row r="318" spans="1:13" x14ac:dyDescent="0.25">
      <c r="A318">
        <v>16</v>
      </c>
      <c r="B318">
        <v>8</v>
      </c>
      <c r="C318">
        <v>1</v>
      </c>
      <c r="D318">
        <v>416</v>
      </c>
      <c r="E318">
        <v>86</v>
      </c>
      <c r="F318">
        <v>268</v>
      </c>
      <c r="G318">
        <v>523.67409999715164</v>
      </c>
      <c r="H318" t="s">
        <v>13</v>
      </c>
      <c r="I318">
        <v>11886</v>
      </c>
      <c r="J318">
        <v>56</v>
      </c>
      <c r="K318">
        <v>11</v>
      </c>
      <c r="L318">
        <v>16081</v>
      </c>
      <c r="M318" t="s">
        <v>14</v>
      </c>
    </row>
    <row r="319" spans="1:13" x14ac:dyDescent="0.25">
      <c r="A319">
        <v>16</v>
      </c>
      <c r="B319">
        <v>8</v>
      </c>
      <c r="C319">
        <v>2</v>
      </c>
      <c r="D319">
        <v>609</v>
      </c>
      <c r="E319">
        <v>99</v>
      </c>
      <c r="F319">
        <v>307</v>
      </c>
      <c r="G319">
        <v>3166.6276000032667</v>
      </c>
      <c r="H319" t="s">
        <v>13</v>
      </c>
      <c r="I319">
        <v>75531</v>
      </c>
      <c r="J319">
        <v>455</v>
      </c>
      <c r="K319">
        <v>67</v>
      </c>
      <c r="L319">
        <v>16082</v>
      </c>
      <c r="M319" t="s">
        <v>14</v>
      </c>
    </row>
    <row r="320" spans="1:13" x14ac:dyDescent="0.25">
      <c r="A320">
        <v>16</v>
      </c>
      <c r="B320">
        <v>8</v>
      </c>
      <c r="C320">
        <v>3</v>
      </c>
      <c r="D320">
        <v>666</v>
      </c>
      <c r="E320">
        <v>108</v>
      </c>
      <c r="F320">
        <v>334</v>
      </c>
      <c r="G320">
        <v>41243.749899993418</v>
      </c>
      <c r="H320" t="s">
        <v>13</v>
      </c>
      <c r="I320">
        <v>5138062</v>
      </c>
      <c r="J320">
        <v>1108</v>
      </c>
      <c r="K320">
        <v>118</v>
      </c>
      <c r="L320">
        <v>16083</v>
      </c>
      <c r="M320" t="s">
        <v>14</v>
      </c>
    </row>
    <row r="321" spans="1:13" x14ac:dyDescent="0.25">
      <c r="A321">
        <v>16</v>
      </c>
      <c r="B321">
        <v>8</v>
      </c>
      <c r="C321">
        <v>5</v>
      </c>
      <c r="F321">
        <v>460</v>
      </c>
      <c r="H321" t="s">
        <v>15</v>
      </c>
      <c r="L321">
        <v>16085</v>
      </c>
      <c r="M321" t="s">
        <v>40</v>
      </c>
    </row>
    <row r="322" spans="1:13" x14ac:dyDescent="0.25">
      <c r="A322">
        <v>17</v>
      </c>
      <c r="B322">
        <v>2</v>
      </c>
      <c r="C322">
        <v>1</v>
      </c>
      <c r="D322">
        <v>161</v>
      </c>
      <c r="E322">
        <v>89</v>
      </c>
      <c r="F322">
        <v>277</v>
      </c>
      <c r="G322">
        <v>39.42849999293685</v>
      </c>
      <c r="H322" t="s">
        <v>13</v>
      </c>
      <c r="I322">
        <v>1103</v>
      </c>
      <c r="J322">
        <v>4</v>
      </c>
      <c r="K322">
        <v>1</v>
      </c>
      <c r="L322">
        <v>17021</v>
      </c>
      <c r="M322" t="s">
        <v>14</v>
      </c>
    </row>
    <row r="323" spans="1:13" x14ac:dyDescent="0.25">
      <c r="A323">
        <v>17</v>
      </c>
      <c r="B323">
        <v>2</v>
      </c>
      <c r="C323">
        <v>2</v>
      </c>
      <c r="D323">
        <v>115</v>
      </c>
      <c r="E323">
        <v>73</v>
      </c>
      <c r="F323">
        <v>229</v>
      </c>
      <c r="G323">
        <v>29.882700007874519</v>
      </c>
      <c r="H323" t="s">
        <v>13</v>
      </c>
      <c r="I323">
        <v>629</v>
      </c>
      <c r="J323">
        <v>6</v>
      </c>
      <c r="K323">
        <v>1</v>
      </c>
      <c r="L323">
        <v>17022</v>
      </c>
      <c r="M323" t="s">
        <v>14</v>
      </c>
    </row>
    <row r="324" spans="1:13" x14ac:dyDescent="0.25">
      <c r="A324">
        <v>17</v>
      </c>
      <c r="B324">
        <v>2</v>
      </c>
      <c r="C324">
        <v>3</v>
      </c>
      <c r="D324">
        <v>167</v>
      </c>
      <c r="E324">
        <v>88</v>
      </c>
      <c r="F324">
        <v>274</v>
      </c>
      <c r="G324">
        <v>40.93819999252446</v>
      </c>
      <c r="H324" t="s">
        <v>13</v>
      </c>
      <c r="I324">
        <v>1470</v>
      </c>
      <c r="J324">
        <v>8</v>
      </c>
      <c r="K324">
        <v>1</v>
      </c>
      <c r="L324">
        <v>17023</v>
      </c>
      <c r="M324" t="s">
        <v>14</v>
      </c>
    </row>
    <row r="325" spans="1:13" x14ac:dyDescent="0.25">
      <c r="A325">
        <v>17</v>
      </c>
      <c r="B325">
        <v>2</v>
      </c>
      <c r="C325">
        <v>5</v>
      </c>
      <c r="D325">
        <v>189</v>
      </c>
      <c r="E325">
        <v>105</v>
      </c>
      <c r="F325">
        <v>382</v>
      </c>
      <c r="G325">
        <v>124.0690000122413</v>
      </c>
      <c r="H325" t="s">
        <v>13</v>
      </c>
      <c r="I325">
        <v>5453</v>
      </c>
      <c r="J325">
        <v>29</v>
      </c>
      <c r="K325">
        <v>2</v>
      </c>
      <c r="L325">
        <v>17025</v>
      </c>
      <c r="M325" t="s">
        <v>14</v>
      </c>
    </row>
    <row r="326" spans="1:13" x14ac:dyDescent="0.25">
      <c r="A326">
        <v>17</v>
      </c>
      <c r="B326">
        <v>4</v>
      </c>
      <c r="C326">
        <v>1</v>
      </c>
      <c r="D326">
        <v>232</v>
      </c>
      <c r="E326">
        <v>70</v>
      </c>
      <c r="F326">
        <v>220</v>
      </c>
      <c r="G326">
        <v>109.59300000104122</v>
      </c>
      <c r="H326" t="s">
        <v>13</v>
      </c>
      <c r="I326">
        <v>1803</v>
      </c>
      <c r="J326">
        <v>16</v>
      </c>
      <c r="K326">
        <v>3</v>
      </c>
      <c r="L326">
        <v>17041</v>
      </c>
      <c r="M326" t="s">
        <v>14</v>
      </c>
    </row>
    <row r="327" spans="1:13" x14ac:dyDescent="0.25">
      <c r="A327">
        <v>17</v>
      </c>
      <c r="B327">
        <v>4</v>
      </c>
      <c r="C327">
        <v>2</v>
      </c>
      <c r="D327">
        <v>296</v>
      </c>
      <c r="E327">
        <v>86</v>
      </c>
      <c r="F327">
        <v>328</v>
      </c>
      <c r="G327">
        <v>417.0600000070408</v>
      </c>
      <c r="H327" t="s">
        <v>13</v>
      </c>
      <c r="I327">
        <v>8025</v>
      </c>
      <c r="J327">
        <v>63</v>
      </c>
      <c r="K327">
        <v>9</v>
      </c>
      <c r="L327">
        <v>17042</v>
      </c>
      <c r="M327" t="s">
        <v>14</v>
      </c>
    </row>
    <row r="328" spans="1:13" x14ac:dyDescent="0.25">
      <c r="A328">
        <v>17</v>
      </c>
      <c r="B328">
        <v>4</v>
      </c>
      <c r="C328">
        <v>3</v>
      </c>
      <c r="D328">
        <v>349</v>
      </c>
      <c r="E328">
        <v>107</v>
      </c>
      <c r="F328">
        <v>376</v>
      </c>
      <c r="G328">
        <v>1599.8187999939546</v>
      </c>
      <c r="H328" t="s">
        <v>13</v>
      </c>
      <c r="I328">
        <v>57273</v>
      </c>
      <c r="J328">
        <v>229</v>
      </c>
      <c r="K328">
        <v>26</v>
      </c>
      <c r="L328">
        <v>17043</v>
      </c>
      <c r="M328" t="s">
        <v>14</v>
      </c>
    </row>
    <row r="329" spans="1:13" x14ac:dyDescent="0.25">
      <c r="A329">
        <v>17</v>
      </c>
      <c r="B329">
        <v>4</v>
      </c>
      <c r="C329">
        <v>5</v>
      </c>
      <c r="D329">
        <v>376</v>
      </c>
      <c r="E329">
        <v>120</v>
      </c>
      <c r="F329">
        <v>466</v>
      </c>
      <c r="G329">
        <v>422.02900000847876</v>
      </c>
      <c r="H329" t="s">
        <v>13</v>
      </c>
      <c r="I329">
        <v>15350</v>
      </c>
      <c r="J329">
        <v>82</v>
      </c>
      <c r="K329">
        <v>5</v>
      </c>
      <c r="L329">
        <v>17045</v>
      </c>
      <c r="M329" t="s">
        <v>14</v>
      </c>
    </row>
    <row r="330" spans="1:13" x14ac:dyDescent="0.25">
      <c r="A330">
        <v>17</v>
      </c>
      <c r="B330">
        <v>5</v>
      </c>
      <c r="C330">
        <v>1</v>
      </c>
      <c r="D330">
        <v>267</v>
      </c>
      <c r="E330">
        <v>80</v>
      </c>
      <c r="F330">
        <v>250</v>
      </c>
      <c r="G330">
        <v>272.53630000632256</v>
      </c>
      <c r="H330" t="s">
        <v>13</v>
      </c>
      <c r="I330">
        <v>5041</v>
      </c>
      <c r="J330">
        <v>34</v>
      </c>
      <c r="K330">
        <v>7</v>
      </c>
      <c r="L330">
        <v>17051</v>
      </c>
      <c r="M330" t="s">
        <v>14</v>
      </c>
    </row>
    <row r="331" spans="1:13" x14ac:dyDescent="0.25">
      <c r="A331">
        <v>17</v>
      </c>
      <c r="B331">
        <v>5</v>
      </c>
      <c r="C331">
        <v>2</v>
      </c>
      <c r="D331">
        <v>369</v>
      </c>
      <c r="E331">
        <v>96</v>
      </c>
      <c r="F331">
        <v>244</v>
      </c>
      <c r="G331">
        <v>618.55480002122931</v>
      </c>
      <c r="H331" t="s">
        <v>13</v>
      </c>
      <c r="I331">
        <v>19719</v>
      </c>
      <c r="J331">
        <v>106</v>
      </c>
      <c r="K331">
        <v>16</v>
      </c>
      <c r="L331">
        <v>17052</v>
      </c>
      <c r="M331" t="s">
        <v>14</v>
      </c>
    </row>
    <row r="332" spans="1:13" x14ac:dyDescent="0.25">
      <c r="A332">
        <v>17</v>
      </c>
      <c r="B332">
        <v>5</v>
      </c>
      <c r="C332">
        <v>3</v>
      </c>
      <c r="D332">
        <v>413</v>
      </c>
      <c r="E332">
        <v>107</v>
      </c>
      <c r="F332">
        <v>385</v>
      </c>
      <c r="G332">
        <v>3247.7673000248615</v>
      </c>
      <c r="H332" t="s">
        <v>13</v>
      </c>
      <c r="I332">
        <v>95109</v>
      </c>
      <c r="J332">
        <v>455</v>
      </c>
      <c r="K332">
        <v>55</v>
      </c>
      <c r="L332">
        <v>17053</v>
      </c>
      <c r="M332" t="s">
        <v>14</v>
      </c>
    </row>
    <row r="333" spans="1:13" x14ac:dyDescent="0.25">
      <c r="A333">
        <v>17</v>
      </c>
      <c r="B333">
        <v>5</v>
      </c>
      <c r="C333">
        <v>5</v>
      </c>
      <c r="D333">
        <v>495</v>
      </c>
      <c r="E333">
        <v>121</v>
      </c>
      <c r="F333">
        <v>559</v>
      </c>
      <c r="G333">
        <v>4473.3789000019897</v>
      </c>
      <c r="H333" t="s">
        <v>13</v>
      </c>
      <c r="I333">
        <v>505396</v>
      </c>
      <c r="J333">
        <v>248</v>
      </c>
      <c r="K333">
        <v>14</v>
      </c>
      <c r="L333">
        <v>17055</v>
      </c>
      <c r="M333" t="s">
        <v>14</v>
      </c>
    </row>
    <row r="334" spans="1:13" x14ac:dyDescent="0.25">
      <c r="A334">
        <v>17</v>
      </c>
      <c r="B334">
        <v>6</v>
      </c>
      <c r="C334">
        <v>1</v>
      </c>
      <c r="D334">
        <v>356</v>
      </c>
      <c r="E334">
        <v>85</v>
      </c>
      <c r="F334">
        <v>265</v>
      </c>
      <c r="G334">
        <v>775.54269999382086</v>
      </c>
      <c r="H334" t="s">
        <v>13</v>
      </c>
      <c r="I334">
        <v>16745</v>
      </c>
      <c r="J334">
        <v>80</v>
      </c>
      <c r="K334">
        <v>18</v>
      </c>
      <c r="L334">
        <v>17061</v>
      </c>
      <c r="M334" t="s">
        <v>14</v>
      </c>
    </row>
    <row r="335" spans="1:13" x14ac:dyDescent="0.25">
      <c r="A335">
        <v>17</v>
      </c>
      <c r="B335">
        <v>6</v>
      </c>
      <c r="C335">
        <v>2</v>
      </c>
      <c r="D335">
        <v>390</v>
      </c>
      <c r="E335">
        <v>93</v>
      </c>
      <c r="F335">
        <v>289</v>
      </c>
      <c r="G335">
        <v>1431.6438999958336</v>
      </c>
      <c r="H335" t="s">
        <v>13</v>
      </c>
      <c r="I335">
        <v>26446</v>
      </c>
      <c r="J335">
        <v>182</v>
      </c>
      <c r="K335">
        <v>28</v>
      </c>
      <c r="L335">
        <v>17062</v>
      </c>
      <c r="M335" t="s">
        <v>14</v>
      </c>
    </row>
    <row r="336" spans="1:13" x14ac:dyDescent="0.25">
      <c r="A336">
        <v>17</v>
      </c>
      <c r="B336">
        <v>6</v>
      </c>
      <c r="C336">
        <v>3</v>
      </c>
      <c r="D336">
        <v>522</v>
      </c>
      <c r="E336">
        <v>104</v>
      </c>
      <c r="F336">
        <v>307</v>
      </c>
      <c r="G336">
        <v>2650.4046000191011</v>
      </c>
      <c r="H336" t="s">
        <v>13</v>
      </c>
      <c r="I336">
        <v>108517</v>
      </c>
      <c r="J336">
        <v>391</v>
      </c>
      <c r="K336">
        <v>42</v>
      </c>
      <c r="L336">
        <v>17063</v>
      </c>
      <c r="M336" t="s">
        <v>14</v>
      </c>
    </row>
    <row r="337" spans="1:13" x14ac:dyDescent="0.25">
      <c r="A337">
        <v>17</v>
      </c>
      <c r="B337">
        <v>6</v>
      </c>
      <c r="C337">
        <v>5</v>
      </c>
      <c r="F337">
        <v>454</v>
      </c>
      <c r="H337" t="s">
        <v>15</v>
      </c>
      <c r="L337">
        <v>17065</v>
      </c>
      <c r="M337" t="s">
        <v>40</v>
      </c>
    </row>
    <row r="338" spans="1:13" x14ac:dyDescent="0.25">
      <c r="A338">
        <v>17</v>
      </c>
      <c r="B338">
        <v>8</v>
      </c>
      <c r="C338">
        <v>1</v>
      </c>
      <c r="D338">
        <v>440</v>
      </c>
      <c r="E338">
        <v>75</v>
      </c>
      <c r="F338">
        <v>235</v>
      </c>
      <c r="G338">
        <v>862.19610000262037</v>
      </c>
      <c r="H338" t="s">
        <v>13</v>
      </c>
      <c r="I338">
        <v>11887</v>
      </c>
      <c r="J338">
        <v>84</v>
      </c>
      <c r="K338">
        <v>18</v>
      </c>
      <c r="L338">
        <v>17081</v>
      </c>
      <c r="M338" t="s">
        <v>14</v>
      </c>
    </row>
    <row r="339" spans="1:13" x14ac:dyDescent="0.25">
      <c r="A339">
        <v>17</v>
      </c>
      <c r="B339">
        <v>8</v>
      </c>
      <c r="C339">
        <v>2</v>
      </c>
      <c r="D339">
        <v>578</v>
      </c>
      <c r="E339">
        <v>93</v>
      </c>
      <c r="F339">
        <v>319</v>
      </c>
      <c r="G339">
        <v>108269.13060000516</v>
      </c>
      <c r="H339" t="s">
        <v>13</v>
      </c>
      <c r="I339">
        <v>2880125</v>
      </c>
      <c r="J339">
        <v>13600</v>
      </c>
      <c r="K339">
        <v>2258</v>
      </c>
      <c r="L339">
        <v>17082</v>
      </c>
      <c r="M339" t="s">
        <v>14</v>
      </c>
    </row>
    <row r="340" spans="1:13" x14ac:dyDescent="0.25">
      <c r="A340">
        <v>17</v>
      </c>
      <c r="B340">
        <v>8</v>
      </c>
      <c r="C340">
        <v>3</v>
      </c>
      <c r="D340">
        <v>724</v>
      </c>
      <c r="E340">
        <v>112</v>
      </c>
      <c r="F340">
        <v>364</v>
      </c>
      <c r="G340">
        <v>1738.3540000009816</v>
      </c>
      <c r="H340" t="s">
        <v>13</v>
      </c>
      <c r="I340">
        <v>59006</v>
      </c>
      <c r="J340">
        <v>257</v>
      </c>
      <c r="K340">
        <v>28</v>
      </c>
      <c r="L340">
        <v>17083</v>
      </c>
      <c r="M340" t="s">
        <v>14</v>
      </c>
    </row>
    <row r="341" spans="1:13" x14ac:dyDescent="0.25">
      <c r="A341">
        <v>17</v>
      </c>
      <c r="B341">
        <v>8</v>
      </c>
      <c r="C341">
        <v>5</v>
      </c>
      <c r="F341">
        <v>445</v>
      </c>
      <c r="H341" t="s">
        <v>15</v>
      </c>
      <c r="L341">
        <v>17085</v>
      </c>
      <c r="M341" t="s">
        <v>40</v>
      </c>
    </row>
    <row r="342" spans="1:13" x14ac:dyDescent="0.25">
      <c r="A342">
        <v>18</v>
      </c>
      <c r="B342">
        <v>2</v>
      </c>
      <c r="C342">
        <v>1</v>
      </c>
      <c r="D342">
        <v>137</v>
      </c>
      <c r="E342">
        <v>89</v>
      </c>
      <c r="F342">
        <v>277</v>
      </c>
      <c r="G342">
        <v>37.535900017246604</v>
      </c>
      <c r="H342" t="s">
        <v>13</v>
      </c>
      <c r="I342">
        <v>895</v>
      </c>
      <c r="J342">
        <v>4</v>
      </c>
      <c r="K342">
        <v>1</v>
      </c>
      <c r="L342">
        <v>18021</v>
      </c>
      <c r="M342" t="s">
        <v>14</v>
      </c>
    </row>
    <row r="343" spans="1:13" x14ac:dyDescent="0.25">
      <c r="A343">
        <v>18</v>
      </c>
      <c r="B343">
        <v>2</v>
      </c>
      <c r="C343">
        <v>2</v>
      </c>
      <c r="D343">
        <v>154</v>
      </c>
      <c r="E343">
        <v>80</v>
      </c>
      <c r="F343">
        <v>250</v>
      </c>
      <c r="G343">
        <v>35.839699994539842</v>
      </c>
      <c r="H343" t="s">
        <v>13</v>
      </c>
      <c r="I343">
        <v>1082</v>
      </c>
      <c r="J343">
        <v>6</v>
      </c>
      <c r="K343">
        <v>1</v>
      </c>
      <c r="L343">
        <v>18022</v>
      </c>
      <c r="M343" t="s">
        <v>14</v>
      </c>
    </row>
    <row r="344" spans="1:13" x14ac:dyDescent="0.25">
      <c r="A344">
        <v>18</v>
      </c>
      <c r="B344">
        <v>2</v>
      </c>
      <c r="C344">
        <v>3</v>
      </c>
      <c r="D344">
        <v>141</v>
      </c>
      <c r="E344">
        <v>72</v>
      </c>
      <c r="F344">
        <v>259</v>
      </c>
      <c r="G344">
        <v>36.175200017169118</v>
      </c>
      <c r="H344" t="s">
        <v>13</v>
      </c>
      <c r="I344">
        <v>1095</v>
      </c>
      <c r="J344">
        <v>8</v>
      </c>
      <c r="K344">
        <v>1</v>
      </c>
      <c r="L344">
        <v>18023</v>
      </c>
      <c r="M344" t="s">
        <v>14</v>
      </c>
    </row>
    <row r="345" spans="1:13" x14ac:dyDescent="0.25">
      <c r="A345">
        <v>18</v>
      </c>
      <c r="B345">
        <v>2</v>
      </c>
      <c r="C345">
        <v>5</v>
      </c>
      <c r="D345">
        <v>186</v>
      </c>
      <c r="E345">
        <v>106</v>
      </c>
      <c r="F345">
        <v>400</v>
      </c>
      <c r="G345">
        <v>200.6515999964904</v>
      </c>
      <c r="H345" t="s">
        <v>13</v>
      </c>
      <c r="I345">
        <v>9608</v>
      </c>
      <c r="J345">
        <v>62</v>
      </c>
      <c r="K345">
        <v>3</v>
      </c>
      <c r="L345">
        <v>18025</v>
      </c>
      <c r="M345" t="s">
        <v>14</v>
      </c>
    </row>
    <row r="346" spans="1:13" x14ac:dyDescent="0.25">
      <c r="A346">
        <v>18</v>
      </c>
      <c r="B346">
        <v>4</v>
      </c>
      <c r="C346">
        <v>1</v>
      </c>
      <c r="D346">
        <v>205</v>
      </c>
      <c r="E346">
        <v>78</v>
      </c>
      <c r="F346">
        <v>244</v>
      </c>
      <c r="G346">
        <v>93.14549999544397</v>
      </c>
      <c r="H346" t="s">
        <v>13</v>
      </c>
      <c r="I346">
        <v>1621</v>
      </c>
      <c r="J346">
        <v>12</v>
      </c>
      <c r="K346">
        <v>2</v>
      </c>
      <c r="L346">
        <v>18041</v>
      </c>
      <c r="M346" t="s">
        <v>14</v>
      </c>
    </row>
    <row r="347" spans="1:13" x14ac:dyDescent="0.25">
      <c r="A347">
        <v>18</v>
      </c>
      <c r="B347">
        <v>4</v>
      </c>
      <c r="C347">
        <v>2</v>
      </c>
      <c r="D347">
        <v>296</v>
      </c>
      <c r="E347">
        <v>91</v>
      </c>
      <c r="F347">
        <v>295</v>
      </c>
      <c r="G347">
        <v>117.16310001793317</v>
      </c>
      <c r="H347" t="s">
        <v>13</v>
      </c>
      <c r="I347">
        <v>2690</v>
      </c>
      <c r="J347">
        <v>18</v>
      </c>
      <c r="K347">
        <v>2</v>
      </c>
      <c r="L347">
        <v>18042</v>
      </c>
      <c r="M347" t="s">
        <v>14</v>
      </c>
    </row>
    <row r="348" spans="1:13" x14ac:dyDescent="0.25">
      <c r="A348">
        <v>18</v>
      </c>
      <c r="B348">
        <v>4</v>
      </c>
      <c r="C348">
        <v>3</v>
      </c>
      <c r="D348">
        <v>310</v>
      </c>
      <c r="E348">
        <v>85</v>
      </c>
      <c r="F348">
        <v>319</v>
      </c>
      <c r="G348">
        <v>131.25249999575317</v>
      </c>
      <c r="H348" t="s">
        <v>13</v>
      </c>
      <c r="I348">
        <v>3638</v>
      </c>
      <c r="J348">
        <v>24</v>
      </c>
      <c r="K348">
        <v>2</v>
      </c>
      <c r="L348">
        <v>18043</v>
      </c>
      <c r="M348" t="s">
        <v>14</v>
      </c>
    </row>
    <row r="349" spans="1:13" x14ac:dyDescent="0.25">
      <c r="A349">
        <v>18</v>
      </c>
      <c r="B349">
        <v>4</v>
      </c>
      <c r="C349">
        <v>5</v>
      </c>
      <c r="F349">
        <v>490</v>
      </c>
      <c r="H349" t="s">
        <v>15</v>
      </c>
      <c r="L349">
        <v>18045</v>
      </c>
      <c r="M349" t="s">
        <v>40</v>
      </c>
    </row>
    <row r="350" spans="1:13" x14ac:dyDescent="0.25">
      <c r="A350">
        <v>18</v>
      </c>
      <c r="B350">
        <v>5</v>
      </c>
      <c r="C350">
        <v>1</v>
      </c>
      <c r="D350">
        <v>338</v>
      </c>
      <c r="E350">
        <v>88</v>
      </c>
      <c r="F350">
        <v>274</v>
      </c>
      <c r="G350">
        <v>128.49020000430755</v>
      </c>
      <c r="H350" t="s">
        <v>13</v>
      </c>
      <c r="I350">
        <v>3022</v>
      </c>
      <c r="J350">
        <v>14</v>
      </c>
      <c r="K350">
        <v>2</v>
      </c>
      <c r="L350">
        <v>18051</v>
      </c>
      <c r="M350" t="s">
        <v>14</v>
      </c>
    </row>
    <row r="351" spans="1:13" x14ac:dyDescent="0.25">
      <c r="A351">
        <v>18</v>
      </c>
      <c r="B351">
        <v>5</v>
      </c>
      <c r="C351">
        <v>2</v>
      </c>
      <c r="D351">
        <v>324</v>
      </c>
      <c r="E351">
        <v>80</v>
      </c>
      <c r="F351">
        <v>280</v>
      </c>
      <c r="G351">
        <v>93.991999980062246</v>
      </c>
      <c r="H351" t="s">
        <v>13</v>
      </c>
      <c r="I351">
        <v>2378</v>
      </c>
      <c r="J351">
        <v>15</v>
      </c>
      <c r="K351">
        <v>1</v>
      </c>
      <c r="L351">
        <v>18052</v>
      </c>
      <c r="M351" t="s">
        <v>14</v>
      </c>
    </row>
    <row r="352" spans="1:13" x14ac:dyDescent="0.25">
      <c r="A352">
        <v>18</v>
      </c>
      <c r="B352">
        <v>5</v>
      </c>
      <c r="C352">
        <v>3</v>
      </c>
      <c r="D352">
        <v>424</v>
      </c>
      <c r="E352">
        <v>110</v>
      </c>
      <c r="F352">
        <v>316</v>
      </c>
      <c r="G352">
        <v>1028.2934999850113</v>
      </c>
      <c r="H352" t="s">
        <v>13</v>
      </c>
      <c r="I352">
        <v>36304</v>
      </c>
      <c r="J352">
        <v>183</v>
      </c>
      <c r="K352">
        <v>20</v>
      </c>
      <c r="L352">
        <v>18053</v>
      </c>
      <c r="M352" t="s">
        <v>14</v>
      </c>
    </row>
    <row r="353" spans="1:13" x14ac:dyDescent="0.25">
      <c r="A353">
        <v>18</v>
      </c>
      <c r="B353">
        <v>5</v>
      </c>
      <c r="C353">
        <v>5</v>
      </c>
      <c r="D353">
        <v>504</v>
      </c>
      <c r="E353">
        <v>121</v>
      </c>
      <c r="F353">
        <v>556</v>
      </c>
      <c r="G353">
        <v>35363.384700001916</v>
      </c>
      <c r="H353" t="s">
        <v>13</v>
      </c>
      <c r="I353">
        <v>3452120</v>
      </c>
      <c r="J353">
        <v>2257</v>
      </c>
      <c r="K353">
        <v>157</v>
      </c>
      <c r="L353">
        <v>18055</v>
      </c>
      <c r="M353" t="s">
        <v>14</v>
      </c>
    </row>
    <row r="354" spans="1:13" x14ac:dyDescent="0.25">
      <c r="A354">
        <v>18</v>
      </c>
      <c r="B354">
        <v>6</v>
      </c>
      <c r="C354">
        <v>1</v>
      </c>
      <c r="D354">
        <v>392</v>
      </c>
      <c r="E354">
        <v>93</v>
      </c>
      <c r="F354">
        <v>289</v>
      </c>
      <c r="G354">
        <v>1546.1228000058327</v>
      </c>
      <c r="H354" t="s">
        <v>13</v>
      </c>
      <c r="I354">
        <v>32391</v>
      </c>
      <c r="J354">
        <v>152</v>
      </c>
      <c r="K354">
        <v>36</v>
      </c>
      <c r="L354">
        <v>18061</v>
      </c>
      <c r="M354" t="s">
        <v>14</v>
      </c>
    </row>
    <row r="355" spans="1:13" x14ac:dyDescent="0.25">
      <c r="A355">
        <v>18</v>
      </c>
      <c r="B355">
        <v>6</v>
      </c>
      <c r="C355">
        <v>2</v>
      </c>
      <c r="D355">
        <v>383</v>
      </c>
      <c r="E355">
        <v>79</v>
      </c>
      <c r="F355">
        <v>247</v>
      </c>
      <c r="G355">
        <v>370.67090001073666</v>
      </c>
      <c r="H355" t="s">
        <v>13</v>
      </c>
      <c r="I355">
        <v>8897</v>
      </c>
      <c r="J355">
        <v>66</v>
      </c>
      <c r="K355">
        <v>9</v>
      </c>
      <c r="L355">
        <v>18062</v>
      </c>
      <c r="M355" t="s">
        <v>14</v>
      </c>
    </row>
    <row r="356" spans="1:13" x14ac:dyDescent="0.25">
      <c r="A356">
        <v>18</v>
      </c>
      <c r="B356">
        <v>6</v>
      </c>
      <c r="C356">
        <v>3</v>
      </c>
      <c r="D356">
        <v>435</v>
      </c>
      <c r="E356">
        <v>82</v>
      </c>
      <c r="F356">
        <v>268</v>
      </c>
      <c r="G356">
        <v>247.79620001208968</v>
      </c>
      <c r="H356" t="s">
        <v>13</v>
      </c>
      <c r="I356">
        <v>8059</v>
      </c>
      <c r="J356">
        <v>51</v>
      </c>
      <c r="K356">
        <v>4</v>
      </c>
      <c r="L356">
        <v>18063</v>
      </c>
      <c r="M356" t="s">
        <v>14</v>
      </c>
    </row>
    <row r="357" spans="1:13" x14ac:dyDescent="0.25">
      <c r="A357">
        <v>18</v>
      </c>
      <c r="B357">
        <v>6</v>
      </c>
      <c r="C357">
        <v>5</v>
      </c>
      <c r="D357">
        <v>569</v>
      </c>
      <c r="E357">
        <v>111</v>
      </c>
      <c r="F357">
        <v>460</v>
      </c>
      <c r="G357">
        <v>38838.905799988424</v>
      </c>
      <c r="H357" t="s">
        <v>13</v>
      </c>
      <c r="I357">
        <v>4259552</v>
      </c>
      <c r="J357">
        <v>2463</v>
      </c>
      <c r="K357">
        <v>132</v>
      </c>
      <c r="L357">
        <v>18065</v>
      </c>
      <c r="M357" t="s">
        <v>14</v>
      </c>
    </row>
    <row r="358" spans="1:13" x14ac:dyDescent="0.25">
      <c r="A358">
        <v>18</v>
      </c>
      <c r="B358">
        <v>8</v>
      </c>
      <c r="C358">
        <v>1</v>
      </c>
      <c r="D358">
        <v>464</v>
      </c>
      <c r="E358">
        <v>72</v>
      </c>
      <c r="F358">
        <v>226</v>
      </c>
      <c r="G358">
        <v>245.45239997678436</v>
      </c>
      <c r="H358" t="s">
        <v>13</v>
      </c>
      <c r="I358">
        <v>5817</v>
      </c>
      <c r="J358">
        <v>32</v>
      </c>
      <c r="K358">
        <v>5</v>
      </c>
      <c r="L358">
        <v>18081</v>
      </c>
      <c r="M358" t="s">
        <v>14</v>
      </c>
    </row>
    <row r="359" spans="1:13" x14ac:dyDescent="0.25">
      <c r="A359">
        <v>18</v>
      </c>
      <c r="B359">
        <v>8</v>
      </c>
      <c r="C359">
        <v>2</v>
      </c>
      <c r="D359">
        <v>559</v>
      </c>
      <c r="E359">
        <v>83</v>
      </c>
      <c r="F359">
        <v>259</v>
      </c>
      <c r="G359">
        <v>4839.3588000035379</v>
      </c>
      <c r="H359" t="s">
        <v>13</v>
      </c>
      <c r="I359">
        <v>142029</v>
      </c>
      <c r="J359">
        <v>762</v>
      </c>
      <c r="K359">
        <v>124</v>
      </c>
      <c r="L359">
        <v>18082</v>
      </c>
      <c r="M359" t="s">
        <v>14</v>
      </c>
    </row>
    <row r="360" spans="1:13" x14ac:dyDescent="0.25">
      <c r="A360">
        <v>18</v>
      </c>
      <c r="B360">
        <v>8</v>
      </c>
      <c r="C360">
        <v>3</v>
      </c>
      <c r="F360">
        <v>352</v>
      </c>
      <c r="H360" t="s">
        <v>15</v>
      </c>
      <c r="L360">
        <v>18083</v>
      </c>
      <c r="M360" t="s">
        <v>40</v>
      </c>
    </row>
    <row r="361" spans="1:13" x14ac:dyDescent="0.25">
      <c r="A361">
        <v>18</v>
      </c>
      <c r="B361">
        <v>8</v>
      </c>
      <c r="C361">
        <v>5</v>
      </c>
      <c r="D361">
        <v>696</v>
      </c>
      <c r="E361">
        <v>104</v>
      </c>
      <c r="F361">
        <v>454</v>
      </c>
      <c r="G361">
        <v>95618.398599995999</v>
      </c>
      <c r="H361" t="s">
        <v>13</v>
      </c>
      <c r="I361">
        <v>12699048</v>
      </c>
      <c r="J361">
        <v>1832</v>
      </c>
      <c r="K361">
        <v>100</v>
      </c>
      <c r="L361">
        <v>18085</v>
      </c>
      <c r="M361" t="s">
        <v>14</v>
      </c>
    </row>
    <row r="362" spans="1:13" x14ac:dyDescent="0.25">
      <c r="A362">
        <v>19</v>
      </c>
      <c r="B362">
        <v>2</v>
      </c>
      <c r="C362">
        <v>1</v>
      </c>
      <c r="D362">
        <v>76</v>
      </c>
      <c r="E362">
        <v>47</v>
      </c>
      <c r="F362">
        <v>151</v>
      </c>
      <c r="G362">
        <v>29.126500012353063</v>
      </c>
      <c r="H362" t="s">
        <v>13</v>
      </c>
      <c r="I362">
        <v>335</v>
      </c>
      <c r="J362">
        <v>4</v>
      </c>
      <c r="K362">
        <v>1</v>
      </c>
      <c r="L362">
        <v>19021</v>
      </c>
      <c r="M362" t="s">
        <v>14</v>
      </c>
    </row>
    <row r="363" spans="1:13" x14ac:dyDescent="0.25">
      <c r="A363">
        <v>19</v>
      </c>
      <c r="B363">
        <v>2</v>
      </c>
      <c r="C363">
        <v>2</v>
      </c>
      <c r="D363">
        <v>114</v>
      </c>
      <c r="E363">
        <v>68</v>
      </c>
      <c r="F363">
        <v>286</v>
      </c>
      <c r="G363">
        <v>49.084700003731996</v>
      </c>
      <c r="H363" t="s">
        <v>13</v>
      </c>
      <c r="I363">
        <v>785</v>
      </c>
      <c r="J363">
        <v>6</v>
      </c>
      <c r="K363">
        <v>1</v>
      </c>
      <c r="L363">
        <v>19022</v>
      </c>
      <c r="M363" t="s">
        <v>14</v>
      </c>
    </row>
    <row r="364" spans="1:13" x14ac:dyDescent="0.25">
      <c r="A364">
        <v>19</v>
      </c>
      <c r="B364">
        <v>2</v>
      </c>
      <c r="C364">
        <v>3</v>
      </c>
      <c r="D364">
        <v>144</v>
      </c>
      <c r="E364">
        <v>82</v>
      </c>
      <c r="F364">
        <v>322</v>
      </c>
      <c r="G364">
        <v>65.54759998107329</v>
      </c>
      <c r="H364" t="s">
        <v>13</v>
      </c>
      <c r="I364">
        <v>1533</v>
      </c>
      <c r="J364">
        <v>9</v>
      </c>
      <c r="K364">
        <v>1</v>
      </c>
      <c r="L364">
        <v>19023</v>
      </c>
      <c r="M364" t="s">
        <v>14</v>
      </c>
    </row>
    <row r="365" spans="1:13" x14ac:dyDescent="0.25">
      <c r="A365">
        <v>19</v>
      </c>
      <c r="B365">
        <v>2</v>
      </c>
      <c r="C365">
        <v>5</v>
      </c>
      <c r="D365">
        <v>217</v>
      </c>
      <c r="E365">
        <v>111</v>
      </c>
      <c r="F365">
        <v>451</v>
      </c>
      <c r="G365">
        <v>85.697300004540011</v>
      </c>
      <c r="H365" t="s">
        <v>13</v>
      </c>
      <c r="I365">
        <v>3238</v>
      </c>
      <c r="J365">
        <v>12</v>
      </c>
      <c r="K365">
        <v>1</v>
      </c>
      <c r="L365">
        <v>19025</v>
      </c>
      <c r="M365" t="s">
        <v>14</v>
      </c>
    </row>
    <row r="366" spans="1:13" x14ac:dyDescent="0.25">
      <c r="A366">
        <v>19</v>
      </c>
      <c r="B366">
        <v>4</v>
      </c>
      <c r="C366">
        <v>1</v>
      </c>
      <c r="D366">
        <v>212</v>
      </c>
      <c r="E366">
        <v>71</v>
      </c>
      <c r="F366">
        <v>223</v>
      </c>
      <c r="G366">
        <v>255.48849999904633</v>
      </c>
      <c r="H366" t="s">
        <v>13</v>
      </c>
      <c r="I366">
        <v>3629</v>
      </c>
      <c r="J366">
        <v>28</v>
      </c>
      <c r="K366">
        <v>6</v>
      </c>
      <c r="L366">
        <v>19041</v>
      </c>
      <c r="M366" t="s">
        <v>14</v>
      </c>
    </row>
    <row r="367" spans="1:13" x14ac:dyDescent="0.25">
      <c r="A367">
        <v>19</v>
      </c>
      <c r="B367">
        <v>4</v>
      </c>
      <c r="C367">
        <v>2</v>
      </c>
      <c r="D367">
        <v>272</v>
      </c>
      <c r="E367">
        <v>100</v>
      </c>
      <c r="F367">
        <v>310</v>
      </c>
      <c r="G367">
        <v>240.79849998815916</v>
      </c>
      <c r="H367" t="s">
        <v>13</v>
      </c>
      <c r="I367">
        <v>4906</v>
      </c>
      <c r="J367">
        <v>30</v>
      </c>
      <c r="K367">
        <v>4</v>
      </c>
      <c r="L367">
        <v>19042</v>
      </c>
      <c r="M367" t="s">
        <v>14</v>
      </c>
    </row>
    <row r="368" spans="1:13" x14ac:dyDescent="0.25">
      <c r="A368">
        <v>19</v>
      </c>
      <c r="B368">
        <v>4</v>
      </c>
      <c r="C368">
        <v>3</v>
      </c>
      <c r="D368">
        <v>359</v>
      </c>
      <c r="E368">
        <v>102</v>
      </c>
      <c r="F368">
        <v>400</v>
      </c>
      <c r="G368">
        <v>1206.4796000195201</v>
      </c>
      <c r="H368" t="s">
        <v>13</v>
      </c>
      <c r="I368">
        <v>29813</v>
      </c>
      <c r="J368">
        <v>140</v>
      </c>
      <c r="K368">
        <v>15</v>
      </c>
      <c r="L368">
        <v>19043</v>
      </c>
      <c r="M368" t="s">
        <v>14</v>
      </c>
    </row>
    <row r="369" spans="1:13" x14ac:dyDescent="0.25">
      <c r="A369">
        <v>19</v>
      </c>
      <c r="B369">
        <v>4</v>
      </c>
      <c r="C369">
        <v>5</v>
      </c>
      <c r="D369">
        <v>310</v>
      </c>
      <c r="E369">
        <v>86</v>
      </c>
      <c r="F369">
        <v>364</v>
      </c>
      <c r="G369">
        <v>221.46930001326837</v>
      </c>
      <c r="H369" t="s">
        <v>13</v>
      </c>
      <c r="I369">
        <v>6405</v>
      </c>
      <c r="J369">
        <v>42</v>
      </c>
      <c r="K369">
        <v>2</v>
      </c>
      <c r="L369">
        <v>19045</v>
      </c>
      <c r="M369" t="s">
        <v>14</v>
      </c>
    </row>
    <row r="370" spans="1:13" x14ac:dyDescent="0.25">
      <c r="A370">
        <v>19</v>
      </c>
      <c r="B370">
        <v>5</v>
      </c>
      <c r="C370">
        <v>1</v>
      </c>
      <c r="D370">
        <v>379</v>
      </c>
      <c r="E370">
        <v>91</v>
      </c>
      <c r="F370">
        <v>283</v>
      </c>
      <c r="G370">
        <v>524.0615000075195</v>
      </c>
      <c r="H370" t="s">
        <v>13</v>
      </c>
      <c r="I370">
        <v>11520</v>
      </c>
      <c r="J370">
        <v>46</v>
      </c>
      <c r="K370">
        <v>10</v>
      </c>
      <c r="L370">
        <v>19051</v>
      </c>
      <c r="M370" t="s">
        <v>14</v>
      </c>
    </row>
    <row r="371" spans="1:13" x14ac:dyDescent="0.25">
      <c r="A371">
        <v>19</v>
      </c>
      <c r="B371">
        <v>5</v>
      </c>
      <c r="C371">
        <v>2</v>
      </c>
      <c r="D371">
        <v>384</v>
      </c>
      <c r="E371">
        <v>116</v>
      </c>
      <c r="F371">
        <v>286</v>
      </c>
      <c r="G371">
        <v>446.8883000081405</v>
      </c>
      <c r="H371" t="s">
        <v>13</v>
      </c>
      <c r="I371">
        <v>9747</v>
      </c>
      <c r="J371">
        <v>63</v>
      </c>
      <c r="K371">
        <v>9</v>
      </c>
      <c r="L371">
        <v>19052</v>
      </c>
      <c r="M371" t="s">
        <v>14</v>
      </c>
    </row>
    <row r="372" spans="1:13" x14ac:dyDescent="0.25">
      <c r="A372">
        <v>19</v>
      </c>
      <c r="B372">
        <v>5</v>
      </c>
      <c r="C372">
        <v>3</v>
      </c>
      <c r="D372">
        <v>421</v>
      </c>
      <c r="E372">
        <v>107</v>
      </c>
      <c r="F372">
        <v>388</v>
      </c>
      <c r="G372">
        <v>208.39290000731125</v>
      </c>
      <c r="H372" t="s">
        <v>13</v>
      </c>
      <c r="I372">
        <v>6647</v>
      </c>
      <c r="J372">
        <v>32</v>
      </c>
      <c r="K372">
        <v>2</v>
      </c>
      <c r="L372">
        <v>19053</v>
      </c>
      <c r="M372" t="s">
        <v>14</v>
      </c>
    </row>
    <row r="373" spans="1:13" x14ac:dyDescent="0.25">
      <c r="A373">
        <v>19</v>
      </c>
      <c r="B373">
        <v>5</v>
      </c>
      <c r="C373">
        <v>5</v>
      </c>
      <c r="D373">
        <v>489</v>
      </c>
      <c r="E373">
        <v>116</v>
      </c>
      <c r="F373">
        <v>445</v>
      </c>
      <c r="G373">
        <v>1658.320399990771</v>
      </c>
      <c r="H373" t="s">
        <v>13</v>
      </c>
      <c r="I373">
        <v>83171</v>
      </c>
      <c r="J373">
        <v>434</v>
      </c>
      <c r="K373">
        <v>20</v>
      </c>
      <c r="L373">
        <v>19055</v>
      </c>
      <c r="M373" t="s">
        <v>14</v>
      </c>
    </row>
    <row r="374" spans="1:13" x14ac:dyDescent="0.25">
      <c r="A374">
        <v>19</v>
      </c>
      <c r="B374">
        <v>6</v>
      </c>
      <c r="C374">
        <v>1</v>
      </c>
      <c r="D374">
        <v>343</v>
      </c>
      <c r="E374">
        <v>74</v>
      </c>
      <c r="F374">
        <v>232</v>
      </c>
      <c r="G374">
        <v>457.56349997827783</v>
      </c>
      <c r="H374" t="s">
        <v>13</v>
      </c>
      <c r="I374">
        <v>11641</v>
      </c>
      <c r="J374">
        <v>56</v>
      </c>
      <c r="K374">
        <v>12</v>
      </c>
      <c r="L374">
        <v>19061</v>
      </c>
      <c r="M374" t="s">
        <v>14</v>
      </c>
    </row>
    <row r="375" spans="1:13" x14ac:dyDescent="0.25">
      <c r="A375">
        <v>19</v>
      </c>
      <c r="B375">
        <v>6</v>
      </c>
      <c r="C375">
        <v>2</v>
      </c>
      <c r="D375">
        <v>442</v>
      </c>
      <c r="E375">
        <v>96</v>
      </c>
      <c r="F375">
        <v>295</v>
      </c>
      <c r="G375">
        <v>743.4134999930393</v>
      </c>
      <c r="H375" t="s">
        <v>13</v>
      </c>
      <c r="I375">
        <v>13773</v>
      </c>
      <c r="J375">
        <v>92</v>
      </c>
      <c r="K375">
        <v>13</v>
      </c>
      <c r="L375">
        <v>19062</v>
      </c>
      <c r="M375" t="s">
        <v>14</v>
      </c>
    </row>
    <row r="376" spans="1:13" x14ac:dyDescent="0.25">
      <c r="A376">
        <v>19</v>
      </c>
      <c r="B376">
        <v>6</v>
      </c>
      <c r="C376">
        <v>3</v>
      </c>
      <c r="D376">
        <v>464</v>
      </c>
      <c r="E376">
        <v>91</v>
      </c>
      <c r="F376">
        <v>343</v>
      </c>
      <c r="G376">
        <v>2920.6972999963909</v>
      </c>
      <c r="H376" t="s">
        <v>13</v>
      </c>
      <c r="I376">
        <v>99458</v>
      </c>
      <c r="J376">
        <v>495</v>
      </c>
      <c r="K376">
        <v>54</v>
      </c>
      <c r="L376">
        <v>19063</v>
      </c>
      <c r="M376" t="s">
        <v>14</v>
      </c>
    </row>
    <row r="377" spans="1:13" x14ac:dyDescent="0.25">
      <c r="A377">
        <v>19</v>
      </c>
      <c r="B377">
        <v>6</v>
      </c>
      <c r="C377">
        <v>5</v>
      </c>
      <c r="D377">
        <v>568</v>
      </c>
      <c r="E377">
        <v>127</v>
      </c>
      <c r="F377">
        <v>505</v>
      </c>
      <c r="G377">
        <v>27229.633699986152</v>
      </c>
      <c r="H377" t="s">
        <v>13</v>
      </c>
      <c r="I377">
        <v>2827622</v>
      </c>
      <c r="J377">
        <v>1945</v>
      </c>
      <c r="K377">
        <v>118</v>
      </c>
      <c r="L377">
        <v>19065</v>
      </c>
      <c r="M377" t="s">
        <v>14</v>
      </c>
    </row>
    <row r="378" spans="1:13" x14ac:dyDescent="0.25">
      <c r="A378">
        <v>19</v>
      </c>
      <c r="B378">
        <v>8</v>
      </c>
      <c r="C378">
        <v>1</v>
      </c>
      <c r="D378">
        <v>456</v>
      </c>
      <c r="E378">
        <v>84</v>
      </c>
      <c r="F378">
        <v>262</v>
      </c>
      <c r="G378">
        <v>497.87729998934083</v>
      </c>
      <c r="H378" t="s">
        <v>13</v>
      </c>
      <c r="I378">
        <v>7321</v>
      </c>
      <c r="J378">
        <v>52</v>
      </c>
      <c r="K378">
        <v>10</v>
      </c>
      <c r="L378">
        <v>19081</v>
      </c>
      <c r="M378" t="s">
        <v>14</v>
      </c>
    </row>
    <row r="379" spans="1:13" x14ac:dyDescent="0.25">
      <c r="A379">
        <v>19</v>
      </c>
      <c r="B379">
        <v>8</v>
      </c>
      <c r="C379">
        <v>2</v>
      </c>
      <c r="D379">
        <v>566</v>
      </c>
      <c r="E379">
        <v>95</v>
      </c>
      <c r="F379">
        <v>289</v>
      </c>
      <c r="G379">
        <v>2185.4691000189632</v>
      </c>
      <c r="H379" t="s">
        <v>13</v>
      </c>
      <c r="I379">
        <v>51619</v>
      </c>
      <c r="J379">
        <v>308</v>
      </c>
      <c r="K379">
        <v>47</v>
      </c>
      <c r="L379">
        <v>19082</v>
      </c>
      <c r="M379" t="s">
        <v>14</v>
      </c>
    </row>
    <row r="380" spans="1:13" x14ac:dyDescent="0.25">
      <c r="A380">
        <v>19</v>
      </c>
      <c r="B380">
        <v>8</v>
      </c>
      <c r="C380">
        <v>3</v>
      </c>
      <c r="D380">
        <v>682</v>
      </c>
      <c r="E380">
        <v>94</v>
      </c>
      <c r="F380">
        <v>394</v>
      </c>
      <c r="G380">
        <v>1455.3808000055142</v>
      </c>
      <c r="H380" t="s">
        <v>13</v>
      </c>
      <c r="I380">
        <v>40994</v>
      </c>
      <c r="J380">
        <v>235</v>
      </c>
      <c r="K380">
        <v>22</v>
      </c>
      <c r="L380">
        <v>19083</v>
      </c>
      <c r="M380" t="s">
        <v>14</v>
      </c>
    </row>
    <row r="381" spans="1:13" x14ac:dyDescent="0.25">
      <c r="A381">
        <v>19</v>
      </c>
      <c r="B381">
        <v>8</v>
      </c>
      <c r="C381">
        <v>5</v>
      </c>
      <c r="F381">
        <v>475</v>
      </c>
      <c r="H381" t="s">
        <v>15</v>
      </c>
      <c r="L381">
        <v>19085</v>
      </c>
      <c r="M381" t="s">
        <v>40</v>
      </c>
    </row>
    <row r="382" spans="1:13" x14ac:dyDescent="0.25">
      <c r="A382">
        <v>20</v>
      </c>
      <c r="B382">
        <v>2</v>
      </c>
      <c r="C382">
        <v>1</v>
      </c>
      <c r="D382">
        <v>92</v>
      </c>
      <c r="E382">
        <v>58</v>
      </c>
      <c r="F382">
        <v>184</v>
      </c>
      <c r="G382">
        <v>23.899099993286654</v>
      </c>
      <c r="H382" t="s">
        <v>13</v>
      </c>
      <c r="I382">
        <v>441</v>
      </c>
      <c r="J382">
        <v>4</v>
      </c>
      <c r="K382">
        <v>1</v>
      </c>
      <c r="L382">
        <v>20021</v>
      </c>
      <c r="M382" t="s">
        <v>14</v>
      </c>
    </row>
    <row r="383" spans="1:13" x14ac:dyDescent="0.25">
      <c r="A383">
        <v>20</v>
      </c>
      <c r="B383">
        <v>2</v>
      </c>
      <c r="C383">
        <v>2</v>
      </c>
      <c r="D383">
        <v>103</v>
      </c>
      <c r="E383">
        <v>54</v>
      </c>
      <c r="F383">
        <v>172</v>
      </c>
      <c r="G383">
        <v>22.324199991999194</v>
      </c>
      <c r="H383" t="s">
        <v>13</v>
      </c>
      <c r="I383">
        <v>472</v>
      </c>
      <c r="J383">
        <v>6</v>
      </c>
      <c r="K383">
        <v>1</v>
      </c>
      <c r="L383">
        <v>20022</v>
      </c>
      <c r="M383" t="s">
        <v>14</v>
      </c>
    </row>
    <row r="384" spans="1:13" x14ac:dyDescent="0.25">
      <c r="A384">
        <v>20</v>
      </c>
      <c r="B384">
        <v>2</v>
      </c>
      <c r="C384">
        <v>3</v>
      </c>
      <c r="D384">
        <v>173</v>
      </c>
      <c r="E384">
        <v>100</v>
      </c>
      <c r="F384">
        <v>334</v>
      </c>
      <c r="G384">
        <v>46.68690002290532</v>
      </c>
      <c r="H384" t="s">
        <v>13</v>
      </c>
      <c r="I384">
        <v>1379</v>
      </c>
      <c r="J384">
        <v>10</v>
      </c>
      <c r="K384">
        <v>1</v>
      </c>
      <c r="L384">
        <v>20023</v>
      </c>
      <c r="M384" t="s">
        <v>14</v>
      </c>
    </row>
    <row r="385" spans="1:13" x14ac:dyDescent="0.25">
      <c r="A385">
        <v>20</v>
      </c>
      <c r="B385">
        <v>2</v>
      </c>
      <c r="C385">
        <v>5</v>
      </c>
      <c r="D385">
        <v>205</v>
      </c>
      <c r="E385">
        <v>105</v>
      </c>
      <c r="F385">
        <v>505</v>
      </c>
      <c r="G385">
        <v>78.497900016373023</v>
      </c>
      <c r="H385" t="s">
        <v>13</v>
      </c>
      <c r="I385">
        <v>3162</v>
      </c>
      <c r="J385">
        <v>14</v>
      </c>
      <c r="K385">
        <v>1</v>
      </c>
      <c r="L385">
        <v>20025</v>
      </c>
      <c r="M385" t="s">
        <v>14</v>
      </c>
    </row>
    <row r="386" spans="1:13" x14ac:dyDescent="0.25">
      <c r="A386">
        <v>20</v>
      </c>
      <c r="B386">
        <v>4</v>
      </c>
      <c r="C386">
        <v>1</v>
      </c>
      <c r="D386">
        <v>223</v>
      </c>
      <c r="E386">
        <v>76</v>
      </c>
      <c r="F386">
        <v>238</v>
      </c>
      <c r="G386">
        <v>241.01729999529198</v>
      </c>
      <c r="H386" t="s">
        <v>13</v>
      </c>
      <c r="I386">
        <v>4478</v>
      </c>
      <c r="J386">
        <v>32</v>
      </c>
      <c r="K386">
        <v>7</v>
      </c>
      <c r="L386">
        <v>20041</v>
      </c>
      <c r="M386" t="s">
        <v>14</v>
      </c>
    </row>
    <row r="387" spans="1:13" x14ac:dyDescent="0.25">
      <c r="A387">
        <v>20</v>
      </c>
      <c r="B387">
        <v>4</v>
      </c>
      <c r="C387">
        <v>2</v>
      </c>
      <c r="D387">
        <v>278</v>
      </c>
      <c r="E387">
        <v>83</v>
      </c>
      <c r="F387">
        <v>253</v>
      </c>
      <c r="G387">
        <v>1274.8315999924671</v>
      </c>
      <c r="H387" t="s">
        <v>13</v>
      </c>
      <c r="I387">
        <v>29769</v>
      </c>
      <c r="J387">
        <v>180</v>
      </c>
      <c r="K387">
        <v>29</v>
      </c>
      <c r="L387">
        <v>20042</v>
      </c>
      <c r="M387" t="s">
        <v>14</v>
      </c>
    </row>
    <row r="388" spans="1:13" x14ac:dyDescent="0.25">
      <c r="A388">
        <v>20</v>
      </c>
      <c r="B388">
        <v>4</v>
      </c>
      <c r="C388">
        <v>3</v>
      </c>
      <c r="D388">
        <v>308</v>
      </c>
      <c r="E388">
        <v>93</v>
      </c>
      <c r="F388">
        <v>325</v>
      </c>
      <c r="G388">
        <v>143.90049999929033</v>
      </c>
      <c r="H388" t="s">
        <v>13</v>
      </c>
      <c r="I388">
        <v>3161</v>
      </c>
      <c r="J388">
        <v>16</v>
      </c>
      <c r="K388">
        <v>1</v>
      </c>
      <c r="L388">
        <v>20043</v>
      </c>
      <c r="M388" t="s">
        <v>14</v>
      </c>
    </row>
    <row r="389" spans="1:13" x14ac:dyDescent="0.25">
      <c r="A389">
        <v>20</v>
      </c>
      <c r="B389">
        <v>4</v>
      </c>
      <c r="C389">
        <v>5</v>
      </c>
      <c r="D389">
        <v>411</v>
      </c>
      <c r="E389">
        <v>113</v>
      </c>
      <c r="F389">
        <v>427</v>
      </c>
      <c r="G389">
        <v>900.98589999251999</v>
      </c>
      <c r="H389" t="s">
        <v>13</v>
      </c>
      <c r="I389">
        <v>31526</v>
      </c>
      <c r="J389">
        <v>201</v>
      </c>
      <c r="K389">
        <v>9</v>
      </c>
      <c r="L389">
        <v>20045</v>
      </c>
      <c r="M389" t="s">
        <v>14</v>
      </c>
    </row>
    <row r="390" spans="1:13" x14ac:dyDescent="0.25">
      <c r="A390">
        <v>20</v>
      </c>
      <c r="B390">
        <v>5</v>
      </c>
      <c r="C390">
        <v>1</v>
      </c>
      <c r="D390">
        <v>370</v>
      </c>
      <c r="E390">
        <v>81</v>
      </c>
      <c r="F390">
        <v>253</v>
      </c>
      <c r="G390">
        <v>85.479000001214445</v>
      </c>
      <c r="H390" t="s">
        <v>13</v>
      </c>
      <c r="I390">
        <v>2154</v>
      </c>
      <c r="J390">
        <v>10</v>
      </c>
      <c r="K390">
        <v>1</v>
      </c>
      <c r="L390">
        <v>20051</v>
      </c>
      <c r="M390" t="s">
        <v>14</v>
      </c>
    </row>
    <row r="391" spans="1:13" x14ac:dyDescent="0.25">
      <c r="A391">
        <v>20</v>
      </c>
      <c r="B391">
        <v>5</v>
      </c>
      <c r="C391">
        <v>2</v>
      </c>
      <c r="D391">
        <v>243</v>
      </c>
      <c r="E391">
        <v>61</v>
      </c>
      <c r="F391">
        <v>187</v>
      </c>
      <c r="G391">
        <v>89.653100003488362</v>
      </c>
      <c r="H391" t="s">
        <v>13</v>
      </c>
      <c r="I391">
        <v>2448</v>
      </c>
      <c r="J391">
        <v>23</v>
      </c>
      <c r="K391">
        <v>2</v>
      </c>
      <c r="L391">
        <v>20052</v>
      </c>
      <c r="M391" t="s">
        <v>14</v>
      </c>
    </row>
    <row r="392" spans="1:13" x14ac:dyDescent="0.25">
      <c r="A392">
        <v>20</v>
      </c>
      <c r="B392">
        <v>5</v>
      </c>
      <c r="C392">
        <v>3</v>
      </c>
      <c r="D392">
        <v>404</v>
      </c>
      <c r="E392">
        <v>102</v>
      </c>
      <c r="F392">
        <v>379</v>
      </c>
      <c r="G392">
        <v>1660.1875000051223</v>
      </c>
      <c r="H392" t="s">
        <v>13</v>
      </c>
      <c r="I392">
        <v>45708</v>
      </c>
      <c r="J392">
        <v>236</v>
      </c>
      <c r="K392">
        <v>24</v>
      </c>
      <c r="L392">
        <v>20053</v>
      </c>
      <c r="M392" t="s">
        <v>14</v>
      </c>
    </row>
    <row r="393" spans="1:13" x14ac:dyDescent="0.25">
      <c r="A393">
        <v>20</v>
      </c>
      <c r="B393">
        <v>5</v>
      </c>
      <c r="C393">
        <v>5</v>
      </c>
      <c r="F393">
        <v>562</v>
      </c>
      <c r="H393" t="s">
        <v>15</v>
      </c>
      <c r="L393">
        <v>20055</v>
      </c>
      <c r="M393" t="s">
        <v>40</v>
      </c>
    </row>
    <row r="394" spans="1:13" x14ac:dyDescent="0.25">
      <c r="A394">
        <v>20</v>
      </c>
      <c r="B394">
        <v>6</v>
      </c>
      <c r="C394">
        <v>1</v>
      </c>
      <c r="D394">
        <v>375</v>
      </c>
      <c r="E394">
        <v>82</v>
      </c>
      <c r="F394">
        <v>256</v>
      </c>
      <c r="G394">
        <v>202.2720999957528</v>
      </c>
      <c r="H394" t="s">
        <v>13</v>
      </c>
      <c r="I394">
        <v>4492</v>
      </c>
      <c r="J394">
        <v>24</v>
      </c>
      <c r="K394">
        <v>4</v>
      </c>
      <c r="L394">
        <v>20061</v>
      </c>
      <c r="M394" t="s">
        <v>14</v>
      </c>
    </row>
    <row r="395" spans="1:13" x14ac:dyDescent="0.25">
      <c r="A395">
        <v>20</v>
      </c>
      <c r="B395">
        <v>6</v>
      </c>
      <c r="C395">
        <v>2</v>
      </c>
      <c r="F395">
        <v>241</v>
      </c>
      <c r="H395" t="s">
        <v>15</v>
      </c>
      <c r="L395">
        <v>20062</v>
      </c>
      <c r="M395" t="s">
        <v>40</v>
      </c>
    </row>
    <row r="396" spans="1:13" x14ac:dyDescent="0.25">
      <c r="A396">
        <v>20</v>
      </c>
      <c r="B396">
        <v>6</v>
      </c>
      <c r="C396">
        <v>3</v>
      </c>
      <c r="F396">
        <v>340</v>
      </c>
      <c r="H396" t="s">
        <v>15</v>
      </c>
      <c r="L396">
        <v>20063</v>
      </c>
      <c r="M396" t="s">
        <v>40</v>
      </c>
    </row>
    <row r="397" spans="1:13" x14ac:dyDescent="0.25">
      <c r="A397">
        <v>20</v>
      </c>
      <c r="B397">
        <v>6</v>
      </c>
      <c r="C397">
        <v>5</v>
      </c>
      <c r="D397">
        <v>581</v>
      </c>
      <c r="E397">
        <v>118</v>
      </c>
      <c r="F397">
        <v>466</v>
      </c>
      <c r="G397">
        <v>3932.6989999972284</v>
      </c>
      <c r="H397" t="s">
        <v>13</v>
      </c>
      <c r="I397">
        <v>153533</v>
      </c>
      <c r="J397">
        <v>797</v>
      </c>
      <c r="K397">
        <v>51</v>
      </c>
      <c r="L397">
        <v>20065</v>
      </c>
      <c r="M397" t="s">
        <v>14</v>
      </c>
    </row>
    <row r="398" spans="1:13" x14ac:dyDescent="0.25">
      <c r="A398">
        <v>20</v>
      </c>
      <c r="B398">
        <v>8</v>
      </c>
      <c r="C398">
        <v>1</v>
      </c>
      <c r="D398">
        <v>534</v>
      </c>
      <c r="E398">
        <v>93</v>
      </c>
      <c r="F398">
        <v>289</v>
      </c>
      <c r="G398">
        <v>629.20699999085627</v>
      </c>
      <c r="H398" t="s">
        <v>13</v>
      </c>
      <c r="I398">
        <v>14633</v>
      </c>
      <c r="J398">
        <v>64</v>
      </c>
      <c r="K398">
        <v>13</v>
      </c>
      <c r="L398">
        <v>20081</v>
      </c>
      <c r="M398" t="s">
        <v>14</v>
      </c>
    </row>
    <row r="399" spans="1:13" x14ac:dyDescent="0.25">
      <c r="A399">
        <v>20</v>
      </c>
      <c r="B399">
        <v>8</v>
      </c>
      <c r="C399">
        <v>2</v>
      </c>
      <c r="D399">
        <v>544</v>
      </c>
      <c r="E399">
        <v>105</v>
      </c>
      <c r="F399">
        <v>307</v>
      </c>
      <c r="G399">
        <v>18906.679500010796</v>
      </c>
      <c r="H399" t="s">
        <v>13</v>
      </c>
      <c r="I399">
        <v>478050</v>
      </c>
      <c r="J399">
        <v>2595</v>
      </c>
      <c r="K399">
        <v>424</v>
      </c>
      <c r="L399">
        <v>20082</v>
      </c>
      <c r="M399" t="s">
        <v>14</v>
      </c>
    </row>
    <row r="400" spans="1:13" x14ac:dyDescent="0.25">
      <c r="A400">
        <v>20</v>
      </c>
      <c r="B400">
        <v>8</v>
      </c>
      <c r="C400">
        <v>3</v>
      </c>
      <c r="D400">
        <v>639</v>
      </c>
      <c r="E400">
        <v>91</v>
      </c>
      <c r="F400">
        <v>283</v>
      </c>
      <c r="G400">
        <v>9462.9278999927919</v>
      </c>
      <c r="H400" t="s">
        <v>13</v>
      </c>
      <c r="I400">
        <v>1081955</v>
      </c>
      <c r="J400">
        <v>612</v>
      </c>
      <c r="K400">
        <v>61</v>
      </c>
      <c r="L400">
        <v>20083</v>
      </c>
      <c r="M400" t="s">
        <v>14</v>
      </c>
    </row>
    <row r="401" spans="1:13" x14ac:dyDescent="0.25">
      <c r="A401">
        <v>20</v>
      </c>
      <c r="B401">
        <v>8</v>
      </c>
      <c r="C401">
        <v>5</v>
      </c>
      <c r="F401">
        <v>499</v>
      </c>
      <c r="H401" t="s">
        <v>15</v>
      </c>
      <c r="L401">
        <v>20085</v>
      </c>
      <c r="M40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85B8-38E3-4A10-8788-3E881AACA323}">
  <dimension ref="A1:N23"/>
  <sheetViews>
    <sheetView workbookViewId="0">
      <selection activeCell="B5" sqref="B5:E9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2" bestFit="1" customWidth="1"/>
    <col min="4" max="5" width="3" bestFit="1" customWidth="1"/>
    <col min="6" max="6" width="11.28515625" bestFit="1" customWidth="1"/>
    <col min="7" max="7" width="15.42578125" bestFit="1" customWidth="1"/>
    <col min="8" max="8" width="14.42578125" bestFit="1" customWidth="1"/>
    <col min="9" max="9" width="5" bestFit="1" customWidth="1"/>
    <col min="10" max="10" width="5.42578125" bestFit="1" customWidth="1"/>
    <col min="11" max="14" width="5" bestFit="1" customWidth="1"/>
    <col min="15" max="15" width="7" bestFit="1" customWidth="1"/>
  </cols>
  <sheetData>
    <row r="1" spans="1:14" x14ac:dyDescent="0.25">
      <c r="A1" s="1" t="s">
        <v>12</v>
      </c>
      <c r="B1" t="s">
        <v>14</v>
      </c>
    </row>
    <row r="3" spans="1:14" x14ac:dyDescent="0.25">
      <c r="A3" s="1" t="s">
        <v>41</v>
      </c>
      <c r="B3" s="1" t="s">
        <v>18</v>
      </c>
    </row>
    <row r="4" spans="1:14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2"/>
      <c r="K4" s="5">
        <v>1</v>
      </c>
      <c r="L4" s="5">
        <v>2</v>
      </c>
      <c r="M4" s="5">
        <v>3</v>
      </c>
      <c r="N4" s="6">
        <v>5</v>
      </c>
    </row>
    <row r="5" spans="1:14" x14ac:dyDescent="0.25">
      <c r="A5" s="2">
        <v>2</v>
      </c>
      <c r="B5" s="19">
        <v>20</v>
      </c>
      <c r="C5" s="19">
        <v>20</v>
      </c>
      <c r="D5" s="19">
        <v>20</v>
      </c>
      <c r="E5" s="19">
        <v>20</v>
      </c>
      <c r="F5" s="19">
        <v>80</v>
      </c>
      <c r="J5" s="10">
        <v>2</v>
      </c>
      <c r="K5" s="5">
        <f t="shared" ref="K5:N9" si="0">B5/20</f>
        <v>1</v>
      </c>
      <c r="L5" s="5">
        <f t="shared" si="0"/>
        <v>1</v>
      </c>
      <c r="M5" s="5">
        <f t="shared" si="0"/>
        <v>1</v>
      </c>
      <c r="N5" s="6">
        <f t="shared" si="0"/>
        <v>1</v>
      </c>
    </row>
    <row r="6" spans="1:14" x14ac:dyDescent="0.25">
      <c r="A6" s="2">
        <v>4</v>
      </c>
      <c r="B6" s="19">
        <v>20</v>
      </c>
      <c r="C6" s="19">
        <v>20</v>
      </c>
      <c r="D6" s="19">
        <v>18</v>
      </c>
      <c r="E6" s="19">
        <v>18</v>
      </c>
      <c r="F6" s="19">
        <v>76</v>
      </c>
      <c r="J6" s="10">
        <v>4</v>
      </c>
      <c r="K6">
        <f t="shared" si="0"/>
        <v>1</v>
      </c>
      <c r="L6">
        <f t="shared" si="0"/>
        <v>1</v>
      </c>
      <c r="M6">
        <f t="shared" si="0"/>
        <v>0.9</v>
      </c>
      <c r="N6" s="7">
        <f t="shared" si="0"/>
        <v>0.9</v>
      </c>
    </row>
    <row r="7" spans="1:14" x14ac:dyDescent="0.25">
      <c r="A7" s="2">
        <v>5</v>
      </c>
      <c r="B7" s="19">
        <v>19</v>
      </c>
      <c r="C7" s="19">
        <v>20</v>
      </c>
      <c r="D7" s="19">
        <v>20</v>
      </c>
      <c r="E7" s="19">
        <v>17</v>
      </c>
      <c r="F7" s="19">
        <v>76</v>
      </c>
      <c r="J7" s="10">
        <v>5</v>
      </c>
      <c r="K7">
        <f t="shared" si="0"/>
        <v>0.95</v>
      </c>
      <c r="L7">
        <f t="shared" si="0"/>
        <v>1</v>
      </c>
      <c r="M7">
        <f t="shared" si="0"/>
        <v>1</v>
      </c>
      <c r="N7" s="7">
        <f t="shared" si="0"/>
        <v>0.85</v>
      </c>
    </row>
    <row r="8" spans="1:14" x14ac:dyDescent="0.25">
      <c r="A8" s="2">
        <v>6</v>
      </c>
      <c r="B8" s="19">
        <v>20</v>
      </c>
      <c r="C8" s="19">
        <v>18</v>
      </c>
      <c r="D8" s="19">
        <v>17</v>
      </c>
      <c r="E8" s="19">
        <v>11</v>
      </c>
      <c r="F8" s="19">
        <v>66</v>
      </c>
      <c r="J8" s="10">
        <v>6</v>
      </c>
      <c r="K8">
        <f t="shared" si="0"/>
        <v>1</v>
      </c>
      <c r="L8">
        <f t="shared" si="0"/>
        <v>0.9</v>
      </c>
      <c r="M8">
        <f t="shared" si="0"/>
        <v>0.85</v>
      </c>
      <c r="N8" s="7">
        <f t="shared" si="0"/>
        <v>0.55000000000000004</v>
      </c>
    </row>
    <row r="9" spans="1:14" x14ac:dyDescent="0.25">
      <c r="A9" s="2">
        <v>8</v>
      </c>
      <c r="B9" s="19">
        <v>19</v>
      </c>
      <c r="C9" s="19">
        <v>18</v>
      </c>
      <c r="D9" s="19">
        <v>13</v>
      </c>
      <c r="E9" s="19">
        <v>9</v>
      </c>
      <c r="F9" s="19">
        <v>59</v>
      </c>
      <c r="J9" s="11">
        <v>8</v>
      </c>
      <c r="K9" s="8">
        <f t="shared" si="0"/>
        <v>0.95</v>
      </c>
      <c r="L9" s="8">
        <f t="shared" si="0"/>
        <v>0.9</v>
      </c>
      <c r="M9" s="8">
        <f t="shared" si="0"/>
        <v>0.65</v>
      </c>
      <c r="N9" s="9">
        <f t="shared" si="0"/>
        <v>0.45</v>
      </c>
    </row>
    <row r="10" spans="1:14" x14ac:dyDescent="0.25">
      <c r="A10" s="2" t="s">
        <v>17</v>
      </c>
      <c r="B10" s="19">
        <v>98</v>
      </c>
      <c r="C10" s="19">
        <v>96</v>
      </c>
      <c r="D10" s="19">
        <v>88</v>
      </c>
      <c r="E10" s="19">
        <v>75</v>
      </c>
      <c r="F10" s="19">
        <v>357</v>
      </c>
      <c r="J10" s="13" t="s">
        <v>42</v>
      </c>
      <c r="K10" s="14"/>
      <c r="L10" s="14"/>
      <c r="M10" s="14"/>
      <c r="N10" s="15"/>
    </row>
    <row r="11" spans="1:14" x14ac:dyDescent="0.25">
      <c r="J11" s="16">
        <f>F10/400</f>
        <v>0.89249999999999996</v>
      </c>
      <c r="K11" s="17"/>
      <c r="L11" s="17"/>
      <c r="M11" s="17"/>
      <c r="N11" s="18"/>
    </row>
    <row r="15" spans="1:14" x14ac:dyDescent="0.25">
      <c r="A15" s="1" t="s">
        <v>12</v>
      </c>
      <c r="B15" t="s">
        <v>40</v>
      </c>
    </row>
    <row r="17" spans="1:6" x14ac:dyDescent="0.25">
      <c r="A17" s="1" t="s">
        <v>41</v>
      </c>
      <c r="B17" s="1" t="s">
        <v>18</v>
      </c>
    </row>
    <row r="18" spans="1:6" x14ac:dyDescent="0.25">
      <c r="A18" s="1" t="s">
        <v>16</v>
      </c>
      <c r="B18">
        <v>1</v>
      </c>
      <c r="C18">
        <v>2</v>
      </c>
      <c r="D18">
        <v>3</v>
      </c>
      <c r="E18">
        <v>5</v>
      </c>
      <c r="F18" t="s">
        <v>17</v>
      </c>
    </row>
    <row r="19" spans="1:6" x14ac:dyDescent="0.25">
      <c r="A19" s="2">
        <v>4</v>
      </c>
      <c r="B19" s="19"/>
      <c r="C19" s="19"/>
      <c r="D19" s="19">
        <v>2</v>
      </c>
      <c r="E19" s="19">
        <v>2</v>
      </c>
      <c r="F19" s="19">
        <v>4</v>
      </c>
    </row>
    <row r="20" spans="1:6" x14ac:dyDescent="0.25">
      <c r="A20" s="2">
        <v>5</v>
      </c>
      <c r="B20" s="19">
        <v>1</v>
      </c>
      <c r="C20" s="19"/>
      <c r="D20" s="19"/>
      <c r="E20" s="19">
        <v>3</v>
      </c>
      <c r="F20" s="19">
        <v>4</v>
      </c>
    </row>
    <row r="21" spans="1:6" x14ac:dyDescent="0.25">
      <c r="A21" s="2">
        <v>6</v>
      </c>
      <c r="B21" s="19"/>
      <c r="C21" s="19">
        <v>2</v>
      </c>
      <c r="D21" s="19">
        <v>3</v>
      </c>
      <c r="E21" s="19">
        <v>9</v>
      </c>
      <c r="F21" s="19">
        <v>14</v>
      </c>
    </row>
    <row r="22" spans="1:6" x14ac:dyDescent="0.25">
      <c r="A22" s="2">
        <v>8</v>
      </c>
      <c r="B22" s="19">
        <v>1</v>
      </c>
      <c r="C22" s="19">
        <v>2</v>
      </c>
      <c r="D22" s="19">
        <v>7</v>
      </c>
      <c r="E22" s="19">
        <v>11</v>
      </c>
      <c r="F22" s="19">
        <v>21</v>
      </c>
    </row>
    <row r="23" spans="1:6" x14ac:dyDescent="0.25">
      <c r="A23" s="2" t="s">
        <v>17</v>
      </c>
      <c r="B23" s="19">
        <v>2</v>
      </c>
      <c r="C23" s="19">
        <v>4</v>
      </c>
      <c r="D23" s="19">
        <v>12</v>
      </c>
      <c r="E23" s="19">
        <v>25</v>
      </c>
      <c r="F23" s="19">
        <v>43</v>
      </c>
    </row>
  </sheetData>
  <mergeCells count="2">
    <mergeCell ref="J10:N10"/>
    <mergeCell ref="J11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78F5-ADE9-47EF-AB38-315A5337674A}">
  <dimension ref="A3:X35"/>
  <sheetViews>
    <sheetView workbookViewId="0">
      <selection activeCell="S3" sqref="S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5" width="5.5703125" bestFit="1" customWidth="1"/>
    <col min="6" max="6" width="11.28515625" bestFit="1" customWidth="1"/>
    <col min="10" max="10" width="13.140625" bestFit="1" customWidth="1"/>
    <col min="11" max="11" width="16.28515625" bestFit="1" customWidth="1"/>
    <col min="12" max="14" width="4" bestFit="1" customWidth="1"/>
    <col min="15" max="15" width="11.28515625" bestFit="1" customWidth="1"/>
    <col min="19" max="19" width="13.140625" bestFit="1" customWidth="1"/>
    <col min="20" max="20" width="16.28515625" bestFit="1" customWidth="1"/>
    <col min="21" max="24" width="12" bestFit="1" customWidth="1"/>
    <col min="25" max="25" width="14" bestFit="1" customWidth="1"/>
    <col min="26" max="26" width="12.85546875" bestFit="1" customWidth="1"/>
    <col min="27" max="27" width="14" bestFit="1" customWidth="1"/>
    <col min="28" max="28" width="18" bestFit="1" customWidth="1"/>
    <col min="29" max="29" width="19" bestFit="1" customWidth="1"/>
  </cols>
  <sheetData>
    <row r="3" spans="1:24" x14ac:dyDescent="0.25">
      <c r="A3" s="1" t="s">
        <v>19</v>
      </c>
      <c r="B3" s="1" t="s">
        <v>18</v>
      </c>
      <c r="J3" s="1" t="s">
        <v>20</v>
      </c>
      <c r="K3" s="1" t="s">
        <v>18</v>
      </c>
      <c r="S3" s="1" t="s">
        <v>39</v>
      </c>
      <c r="T3" s="1" t="s">
        <v>18</v>
      </c>
    </row>
    <row r="4" spans="1:24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  <c r="S4" s="1" t="s">
        <v>16</v>
      </c>
      <c r="T4">
        <v>1</v>
      </c>
      <c r="U4">
        <v>2</v>
      </c>
      <c r="V4">
        <v>3</v>
      </c>
      <c r="W4">
        <v>5</v>
      </c>
      <c r="X4" t="s">
        <v>17</v>
      </c>
    </row>
    <row r="5" spans="1:24" x14ac:dyDescent="0.25">
      <c r="A5" s="2">
        <v>2</v>
      </c>
      <c r="B5" s="3">
        <v>122.75</v>
      </c>
      <c r="C5" s="3">
        <v>133.69999999999999</v>
      </c>
      <c r="D5" s="3">
        <v>160.44999999999999</v>
      </c>
      <c r="E5" s="3">
        <v>191.55</v>
      </c>
      <c r="F5" s="3">
        <v>152.11250000000001</v>
      </c>
      <c r="J5" s="2">
        <v>2</v>
      </c>
      <c r="K5" s="19">
        <v>187</v>
      </c>
      <c r="L5" s="19">
        <v>178</v>
      </c>
      <c r="M5" s="19">
        <v>203</v>
      </c>
      <c r="N5" s="19">
        <v>219</v>
      </c>
      <c r="O5" s="19">
        <v>219</v>
      </c>
      <c r="S5" s="2">
        <v>2</v>
      </c>
      <c r="T5" s="19">
        <v>29.572168636992735</v>
      </c>
      <c r="U5" s="19">
        <v>21.324806409931444</v>
      </c>
      <c r="V5" s="19">
        <v>21.799263628316503</v>
      </c>
      <c r="W5" s="19">
        <v>17.998464846816876</v>
      </c>
      <c r="X5" s="19">
        <v>35.033435656870012</v>
      </c>
    </row>
    <row r="6" spans="1:24" x14ac:dyDescent="0.25">
      <c r="A6" s="2">
        <v>4</v>
      </c>
      <c r="B6" s="3">
        <v>231</v>
      </c>
      <c r="C6" s="3">
        <v>286.5</v>
      </c>
      <c r="D6" s="3">
        <v>323.88888888888891</v>
      </c>
      <c r="E6" s="3">
        <v>384.83333333333331</v>
      </c>
      <c r="F6" s="3">
        <v>304.03947368421052</v>
      </c>
      <c r="J6" s="2">
        <v>4</v>
      </c>
      <c r="K6" s="19">
        <v>301</v>
      </c>
      <c r="L6" s="19">
        <v>332</v>
      </c>
      <c r="M6" s="19">
        <v>383</v>
      </c>
      <c r="N6" s="19">
        <v>457</v>
      </c>
      <c r="O6" s="19">
        <v>457</v>
      </c>
      <c r="S6" s="2">
        <v>4</v>
      </c>
      <c r="T6" s="19">
        <v>39.281708613283961</v>
      </c>
      <c r="U6" s="19">
        <v>25.889441050257091</v>
      </c>
      <c r="V6" s="19">
        <v>29.112133894121872</v>
      </c>
      <c r="W6" s="19">
        <v>30.053383875246748</v>
      </c>
      <c r="X6" s="19">
        <v>64.213485767290081</v>
      </c>
    </row>
    <row r="7" spans="1:24" x14ac:dyDescent="0.25">
      <c r="A7" s="2">
        <v>5</v>
      </c>
      <c r="B7" s="3">
        <v>299.15789473684208</v>
      </c>
      <c r="C7" s="3">
        <v>347</v>
      </c>
      <c r="D7" s="3">
        <v>407.45</v>
      </c>
      <c r="E7" s="3">
        <v>488.64705882352939</v>
      </c>
      <c r="F7" s="3">
        <v>382.63157894736844</v>
      </c>
      <c r="J7" s="2">
        <v>5</v>
      </c>
      <c r="K7" s="19">
        <v>379</v>
      </c>
      <c r="L7" s="19">
        <v>408</v>
      </c>
      <c r="M7" s="19">
        <v>450</v>
      </c>
      <c r="N7" s="19">
        <v>533</v>
      </c>
      <c r="O7" s="19">
        <v>533</v>
      </c>
      <c r="S7" s="2">
        <v>5</v>
      </c>
      <c r="T7" s="19">
        <v>41.997702526969945</v>
      </c>
      <c r="U7" s="19">
        <v>36.11822691923669</v>
      </c>
      <c r="V7" s="19">
        <v>26.112056098366139</v>
      </c>
      <c r="W7" s="19">
        <v>22.340941051326045</v>
      </c>
      <c r="X7" s="19">
        <v>76.4760253683489</v>
      </c>
    </row>
    <row r="8" spans="1:24" x14ac:dyDescent="0.25">
      <c r="A8" s="2">
        <v>6</v>
      </c>
      <c r="B8" s="3">
        <v>346.15</v>
      </c>
      <c r="C8" s="3">
        <v>426.5</v>
      </c>
      <c r="D8" s="3">
        <v>497.35294117647061</v>
      </c>
      <c r="E8" s="3">
        <v>591.4545454545455</v>
      </c>
      <c r="F8" s="3">
        <v>447.89393939393938</v>
      </c>
      <c r="J8" s="2">
        <v>6</v>
      </c>
      <c r="K8" s="19">
        <v>426</v>
      </c>
      <c r="L8" s="19">
        <v>497</v>
      </c>
      <c r="M8" s="19">
        <v>573</v>
      </c>
      <c r="N8" s="19">
        <v>634</v>
      </c>
      <c r="O8" s="19">
        <v>634</v>
      </c>
      <c r="S8" s="2">
        <v>6</v>
      </c>
      <c r="T8" s="19">
        <v>39.71116109848041</v>
      </c>
      <c r="U8" s="19">
        <v>37.832836655632427</v>
      </c>
      <c r="V8" s="19">
        <v>41.710222332886168</v>
      </c>
      <c r="W8" s="19">
        <v>23.842666110833875</v>
      </c>
      <c r="X8" s="19">
        <v>93.757646463615302</v>
      </c>
    </row>
    <row r="9" spans="1:24" x14ac:dyDescent="0.25">
      <c r="A9" s="2">
        <v>8</v>
      </c>
      <c r="B9" s="3">
        <v>477.36842105263156</v>
      </c>
      <c r="C9" s="3">
        <v>588.66666666666663</v>
      </c>
      <c r="D9" s="3">
        <v>645.46153846153845</v>
      </c>
      <c r="E9" s="3">
        <v>767.88888888888891</v>
      </c>
      <c r="F9" s="3">
        <v>592.67796610169489</v>
      </c>
      <c r="J9" s="2">
        <v>8</v>
      </c>
      <c r="K9" s="19">
        <v>580</v>
      </c>
      <c r="L9" s="19">
        <v>678</v>
      </c>
      <c r="M9" s="19">
        <v>724</v>
      </c>
      <c r="N9" s="19">
        <v>817</v>
      </c>
      <c r="O9" s="19">
        <v>817</v>
      </c>
      <c r="S9" s="2">
        <v>8</v>
      </c>
      <c r="T9" s="19">
        <v>46.379126682300573</v>
      </c>
      <c r="U9" s="19">
        <v>45.131181342966912</v>
      </c>
      <c r="V9" s="19">
        <v>38.950000822882942</v>
      </c>
      <c r="W9" s="19">
        <v>41.603618966516891</v>
      </c>
      <c r="X9" s="19">
        <v>107.54508928944512</v>
      </c>
    </row>
    <row r="10" spans="1:24" x14ac:dyDescent="0.25">
      <c r="A10" s="2" t="s">
        <v>17</v>
      </c>
      <c r="B10" s="3">
        <v>293.38775510204084</v>
      </c>
      <c r="C10" s="3">
        <v>350.17708333333331</v>
      </c>
      <c r="D10" s="3">
        <v>386.75</v>
      </c>
      <c r="E10" s="3">
        <v>433.09333333333331</v>
      </c>
      <c r="F10" s="3">
        <v>361.02240896358546</v>
      </c>
      <c r="J10" s="2" t="s">
        <v>17</v>
      </c>
      <c r="K10" s="19">
        <v>580</v>
      </c>
      <c r="L10" s="19">
        <v>678</v>
      </c>
      <c r="M10" s="19">
        <v>724</v>
      </c>
      <c r="N10" s="19">
        <v>817</v>
      </c>
      <c r="O10" s="19">
        <v>817</v>
      </c>
      <c r="S10" s="2" t="s">
        <v>17</v>
      </c>
      <c r="T10" s="19">
        <v>124.60209929004327</v>
      </c>
      <c r="U10" s="19">
        <v>153.97566415998594</v>
      </c>
      <c r="V10" s="19">
        <v>161.33197372847837</v>
      </c>
      <c r="W10" s="19">
        <v>187.26092313489571</v>
      </c>
      <c r="X10" s="19">
        <v>163.57204560428218</v>
      </c>
    </row>
    <row r="14" spans="1:24" x14ac:dyDescent="0.25">
      <c r="J14" s="1" t="s">
        <v>21</v>
      </c>
      <c r="K14" s="1" t="s">
        <v>18</v>
      </c>
      <c r="T14">
        <v>29.572168636992735</v>
      </c>
      <c r="U14">
        <v>21.324806409931444</v>
      </c>
      <c r="V14">
        <v>21.799263628316503</v>
      </c>
      <c r="W14">
        <v>17.998464846816876</v>
      </c>
    </row>
    <row r="15" spans="1:24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  <c r="T15">
        <v>39.281708613283961</v>
      </c>
      <c r="U15">
        <v>25.889441050257091</v>
      </c>
      <c r="V15">
        <v>29.112133894121872</v>
      </c>
      <c r="W15">
        <v>30.053383875246748</v>
      </c>
    </row>
    <row r="16" spans="1:24" x14ac:dyDescent="0.25">
      <c r="J16" s="2">
        <v>2</v>
      </c>
      <c r="K16" s="19">
        <v>76</v>
      </c>
      <c r="L16" s="19">
        <v>101</v>
      </c>
      <c r="M16" s="19">
        <v>123</v>
      </c>
      <c r="N16" s="19">
        <v>154</v>
      </c>
      <c r="O16" s="19">
        <v>76</v>
      </c>
      <c r="T16">
        <v>41.997702526969945</v>
      </c>
      <c r="U16">
        <v>36.11822691923669</v>
      </c>
      <c r="V16">
        <v>26.112056098366139</v>
      </c>
      <c r="W16">
        <v>22.340941051326045</v>
      </c>
    </row>
    <row r="17" spans="1:23" x14ac:dyDescent="0.25">
      <c r="J17" s="2">
        <v>4</v>
      </c>
      <c r="K17" s="19">
        <v>165</v>
      </c>
      <c r="L17" s="19">
        <v>244</v>
      </c>
      <c r="M17" s="19">
        <v>277</v>
      </c>
      <c r="N17" s="19">
        <v>310</v>
      </c>
      <c r="O17" s="19">
        <v>165</v>
      </c>
      <c r="T17">
        <v>39.71116109848041</v>
      </c>
      <c r="U17">
        <v>37.832836655632427</v>
      </c>
      <c r="V17">
        <v>41.710222332886168</v>
      </c>
      <c r="W17">
        <v>23.842666110833875</v>
      </c>
    </row>
    <row r="18" spans="1:23" x14ac:dyDescent="0.25">
      <c r="J18" s="2">
        <v>5</v>
      </c>
      <c r="K18" s="19">
        <v>234</v>
      </c>
      <c r="L18" s="19">
        <v>243</v>
      </c>
      <c r="M18" s="19">
        <v>355</v>
      </c>
      <c r="N18" s="19">
        <v>443</v>
      </c>
      <c r="O18" s="19">
        <v>234</v>
      </c>
      <c r="T18">
        <v>46.379126682300573</v>
      </c>
      <c r="U18">
        <v>45.131181342966912</v>
      </c>
      <c r="V18">
        <v>38.950000822882942</v>
      </c>
      <c r="W18">
        <v>41.603618966516891</v>
      </c>
    </row>
    <row r="19" spans="1:23" x14ac:dyDescent="0.25">
      <c r="J19" s="2">
        <v>6</v>
      </c>
      <c r="K19" s="19">
        <v>272</v>
      </c>
      <c r="L19" s="19">
        <v>358</v>
      </c>
      <c r="M19" s="19">
        <v>425</v>
      </c>
      <c r="N19" s="19">
        <v>562</v>
      </c>
      <c r="O19" s="19">
        <v>272</v>
      </c>
    </row>
    <row r="20" spans="1:23" x14ac:dyDescent="0.25">
      <c r="J20" s="2">
        <v>8</v>
      </c>
      <c r="K20" s="19">
        <v>416</v>
      </c>
      <c r="L20" s="19">
        <v>512</v>
      </c>
      <c r="M20" s="19">
        <v>574</v>
      </c>
      <c r="N20" s="19">
        <v>696</v>
      </c>
      <c r="O20" s="19">
        <v>416</v>
      </c>
    </row>
    <row r="21" spans="1:23" x14ac:dyDescent="0.25">
      <c r="J21" s="2" t="s">
        <v>17</v>
      </c>
      <c r="K21" s="19">
        <v>76</v>
      </c>
      <c r="L21" s="19">
        <v>101</v>
      </c>
      <c r="M21" s="19">
        <v>123</v>
      </c>
      <c r="N21" s="19">
        <v>154</v>
      </c>
      <c r="O21" s="19">
        <v>76</v>
      </c>
    </row>
    <row r="28" spans="1:23" x14ac:dyDescent="0.25">
      <c r="A28" s="1" t="s">
        <v>26</v>
      </c>
      <c r="B28" s="1" t="s">
        <v>18</v>
      </c>
    </row>
    <row r="29" spans="1:23" x14ac:dyDescent="0.25">
      <c r="A29" s="1" t="s">
        <v>16</v>
      </c>
      <c r="B29">
        <v>1</v>
      </c>
      <c r="C29">
        <v>2</v>
      </c>
      <c r="D29">
        <v>3</v>
      </c>
      <c r="E29">
        <v>5</v>
      </c>
      <c r="F29" t="s">
        <v>17</v>
      </c>
    </row>
    <row r="30" spans="1:23" x14ac:dyDescent="0.25">
      <c r="A30" s="2">
        <v>2</v>
      </c>
      <c r="B30" s="3">
        <v>125</v>
      </c>
      <c r="C30" s="3">
        <v>136.5</v>
      </c>
      <c r="D30" s="3">
        <v>157.5</v>
      </c>
      <c r="E30" s="3">
        <v>193.5</v>
      </c>
      <c r="F30" s="3">
        <v>150</v>
      </c>
    </row>
    <row r="31" spans="1:23" x14ac:dyDescent="0.25">
      <c r="A31" s="2">
        <v>4</v>
      </c>
      <c r="B31" s="3">
        <v>230</v>
      </c>
      <c r="C31" s="3">
        <v>289.5</v>
      </c>
      <c r="D31" s="3">
        <v>317.5</v>
      </c>
      <c r="E31" s="3">
        <v>380.5</v>
      </c>
      <c r="F31" s="3">
        <v>302.5</v>
      </c>
    </row>
    <row r="32" spans="1:23" x14ac:dyDescent="0.25">
      <c r="A32" s="2">
        <v>5</v>
      </c>
      <c r="B32" s="3">
        <v>284</v>
      </c>
      <c r="C32" s="3">
        <v>348</v>
      </c>
      <c r="D32" s="3">
        <v>412</v>
      </c>
      <c r="E32" s="3">
        <v>490</v>
      </c>
      <c r="F32" s="3">
        <v>378</v>
      </c>
    </row>
    <row r="33" spans="1:6" x14ac:dyDescent="0.25">
      <c r="A33" s="2">
        <v>6</v>
      </c>
      <c r="B33" s="3">
        <v>353.5</v>
      </c>
      <c r="C33" s="3">
        <v>425</v>
      </c>
      <c r="D33" s="3">
        <v>499</v>
      </c>
      <c r="E33" s="3">
        <v>586</v>
      </c>
      <c r="F33" s="3">
        <v>436.5</v>
      </c>
    </row>
    <row r="34" spans="1:6" x14ac:dyDescent="0.25">
      <c r="A34" s="2">
        <v>8</v>
      </c>
      <c r="B34" s="3">
        <v>464</v>
      </c>
      <c r="C34" s="3">
        <v>578</v>
      </c>
      <c r="D34" s="3">
        <v>644</v>
      </c>
      <c r="E34" s="3">
        <v>776</v>
      </c>
      <c r="F34" s="3">
        <v>580</v>
      </c>
    </row>
    <row r="35" spans="1:6" x14ac:dyDescent="0.25">
      <c r="A35" s="2" t="s">
        <v>17</v>
      </c>
      <c r="B35" s="3">
        <v>282</v>
      </c>
      <c r="C35" s="3">
        <v>340.5</v>
      </c>
      <c r="D35" s="3">
        <v>401</v>
      </c>
      <c r="E35" s="3">
        <v>443</v>
      </c>
      <c r="F35" s="3">
        <v>357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4C9A-8F15-4383-AA84-BBF4DD9ECB04}">
  <dimension ref="A3:O35"/>
  <sheetViews>
    <sheetView workbookViewId="0">
      <selection activeCell="J14" sqref="J14:O21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3" bestFit="1" customWidth="1"/>
    <col min="4" max="5" width="4" bestFit="1" customWidth="1"/>
    <col min="6" max="6" width="11.28515625" bestFit="1" customWidth="1"/>
    <col min="7" max="7" width="17.7109375" bestFit="1" customWidth="1"/>
    <col min="8" max="8" width="20.28515625" bestFit="1" customWidth="1"/>
    <col min="9" max="9" width="17.7109375" bestFit="1" customWidth="1"/>
    <col min="10" max="10" width="16.42578125" bestFit="1" customWidth="1"/>
    <col min="11" max="11" width="16.28515625" bestFit="1" customWidth="1"/>
    <col min="12" max="13" width="3" bestFit="1" customWidth="1"/>
    <col min="14" max="14" width="4" bestFit="1" customWidth="1"/>
    <col min="15" max="15" width="11.28515625" bestFit="1" customWidth="1"/>
    <col min="16" max="16" width="16.7109375" bestFit="1" customWidth="1"/>
    <col min="17" max="17" width="14" bestFit="1" customWidth="1"/>
    <col min="18" max="18" width="16.7109375" bestFit="1" customWidth="1"/>
    <col min="19" max="19" width="19" bestFit="1" customWidth="1"/>
    <col min="20" max="20" width="21.85546875" bestFit="1" customWidth="1"/>
  </cols>
  <sheetData>
    <row r="3" spans="1:15" x14ac:dyDescent="0.25">
      <c r="A3" s="1" t="s">
        <v>22</v>
      </c>
      <c r="B3" s="1" t="s">
        <v>18</v>
      </c>
      <c r="J3" s="1" t="s">
        <v>24</v>
      </c>
      <c r="K3" s="1" t="s">
        <v>18</v>
      </c>
    </row>
    <row r="4" spans="1:15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</row>
    <row r="5" spans="1:15" x14ac:dyDescent="0.25">
      <c r="A5" s="2">
        <v>2</v>
      </c>
      <c r="B5" s="3">
        <v>71.650000000000006</v>
      </c>
      <c r="C5" s="3">
        <v>73.650000000000006</v>
      </c>
      <c r="D5" s="3">
        <v>88.6</v>
      </c>
      <c r="E5" s="3">
        <v>102.25</v>
      </c>
      <c r="F5" s="3">
        <v>84.037499999999994</v>
      </c>
      <c r="J5" s="2">
        <v>2</v>
      </c>
      <c r="K5" s="19">
        <v>103</v>
      </c>
      <c r="L5" s="19">
        <v>95</v>
      </c>
      <c r="M5" s="19">
        <v>122</v>
      </c>
      <c r="N5" s="19">
        <v>119</v>
      </c>
      <c r="O5" s="19">
        <v>122</v>
      </c>
    </row>
    <row r="6" spans="1:15" x14ac:dyDescent="0.25">
      <c r="A6" s="2">
        <v>4</v>
      </c>
      <c r="B6" s="3">
        <v>78</v>
      </c>
      <c r="C6" s="3">
        <v>86.6</v>
      </c>
      <c r="D6" s="3">
        <v>96.166666666666671</v>
      </c>
      <c r="E6" s="3">
        <v>109.33333333333333</v>
      </c>
      <c r="F6" s="3">
        <v>91.986842105263165</v>
      </c>
      <c r="J6" s="2">
        <v>4</v>
      </c>
      <c r="K6" s="19">
        <v>91</v>
      </c>
      <c r="L6" s="19">
        <v>105</v>
      </c>
      <c r="M6" s="19">
        <v>112</v>
      </c>
      <c r="N6" s="19">
        <v>132</v>
      </c>
      <c r="O6" s="19">
        <v>132</v>
      </c>
    </row>
    <row r="7" spans="1:15" x14ac:dyDescent="0.25">
      <c r="A7" s="2">
        <v>5</v>
      </c>
      <c r="B7" s="3">
        <v>79.89473684210526</v>
      </c>
      <c r="C7" s="3">
        <v>86.9</v>
      </c>
      <c r="D7" s="3">
        <v>97.8</v>
      </c>
      <c r="E7" s="3">
        <v>116.23529411764706</v>
      </c>
      <c r="F7" s="3">
        <v>94.578947368421055</v>
      </c>
      <c r="J7" s="2">
        <v>5</v>
      </c>
      <c r="K7" s="19">
        <v>97</v>
      </c>
      <c r="L7" s="19">
        <v>116</v>
      </c>
      <c r="M7" s="19">
        <v>110</v>
      </c>
      <c r="N7" s="19">
        <v>129</v>
      </c>
      <c r="O7" s="19">
        <v>129</v>
      </c>
    </row>
    <row r="8" spans="1:15" x14ac:dyDescent="0.25">
      <c r="A8" s="2">
        <v>6</v>
      </c>
      <c r="B8" s="3">
        <v>78.599999999999994</v>
      </c>
      <c r="C8" s="3">
        <v>93.833333333333329</v>
      </c>
      <c r="D8" s="3">
        <v>99.17647058823529</v>
      </c>
      <c r="E8" s="3">
        <v>117.18181818181819</v>
      </c>
      <c r="F8" s="3">
        <v>94.484848484848484</v>
      </c>
      <c r="J8" s="2">
        <v>6</v>
      </c>
      <c r="K8" s="19">
        <v>95</v>
      </c>
      <c r="L8" s="19">
        <v>126</v>
      </c>
      <c r="M8" s="19">
        <v>115</v>
      </c>
      <c r="N8" s="19">
        <v>128</v>
      </c>
      <c r="O8" s="19">
        <v>128</v>
      </c>
    </row>
    <row r="9" spans="1:15" x14ac:dyDescent="0.25">
      <c r="A9" s="2">
        <v>8</v>
      </c>
      <c r="B9" s="3">
        <v>85.15789473684211</v>
      </c>
      <c r="C9" s="3">
        <v>95.722222222222229</v>
      </c>
      <c r="D9" s="3">
        <v>99.307692307692307</v>
      </c>
      <c r="E9" s="3">
        <v>114.33333333333333</v>
      </c>
      <c r="F9" s="3">
        <v>95.949152542372886</v>
      </c>
      <c r="J9" s="2">
        <v>8</v>
      </c>
      <c r="K9" s="19">
        <v>101</v>
      </c>
      <c r="L9" s="19">
        <v>106</v>
      </c>
      <c r="M9" s="19">
        <v>112</v>
      </c>
      <c r="N9" s="19">
        <v>126</v>
      </c>
      <c r="O9" s="19">
        <v>126</v>
      </c>
    </row>
    <row r="10" spans="1:15" x14ac:dyDescent="0.25">
      <c r="A10" s="2" t="s">
        <v>17</v>
      </c>
      <c r="B10" s="3">
        <v>78.58163265306122</v>
      </c>
      <c r="C10" s="3">
        <v>87.03125</v>
      </c>
      <c r="D10" s="3">
        <v>95.86363636363636</v>
      </c>
      <c r="E10" s="3">
        <v>110.76</v>
      </c>
      <c r="F10" s="3">
        <v>91.87394957983193</v>
      </c>
      <c r="J10" s="2" t="s">
        <v>17</v>
      </c>
      <c r="K10" s="19">
        <v>103</v>
      </c>
      <c r="L10" s="19">
        <v>126</v>
      </c>
      <c r="M10" s="19">
        <v>122</v>
      </c>
      <c r="N10" s="19">
        <v>132</v>
      </c>
      <c r="O10" s="19">
        <v>132</v>
      </c>
    </row>
    <row r="14" spans="1:15" x14ac:dyDescent="0.25">
      <c r="J14" s="1" t="s">
        <v>23</v>
      </c>
      <c r="K14" s="1" t="s">
        <v>18</v>
      </c>
    </row>
    <row r="15" spans="1:15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</row>
    <row r="16" spans="1:15" x14ac:dyDescent="0.25">
      <c r="J16" s="2">
        <v>2</v>
      </c>
      <c r="K16" s="19">
        <v>42</v>
      </c>
      <c r="L16" s="19">
        <v>51</v>
      </c>
      <c r="M16" s="19">
        <v>65</v>
      </c>
      <c r="N16" s="19">
        <v>78</v>
      </c>
      <c r="O16" s="19">
        <v>42</v>
      </c>
    </row>
    <row r="17" spans="1:15" x14ac:dyDescent="0.25">
      <c r="J17" s="2">
        <v>4</v>
      </c>
      <c r="K17" s="19">
        <v>59</v>
      </c>
      <c r="L17" s="19">
        <v>69</v>
      </c>
      <c r="M17" s="19">
        <v>75</v>
      </c>
      <c r="N17" s="19">
        <v>86</v>
      </c>
      <c r="O17" s="19">
        <v>59</v>
      </c>
    </row>
    <row r="18" spans="1:15" x14ac:dyDescent="0.25">
      <c r="J18" s="2">
        <v>5</v>
      </c>
      <c r="K18" s="19">
        <v>65</v>
      </c>
      <c r="L18" s="19">
        <v>61</v>
      </c>
      <c r="M18" s="19">
        <v>82</v>
      </c>
      <c r="N18" s="19">
        <v>105</v>
      </c>
      <c r="O18" s="19">
        <v>61</v>
      </c>
    </row>
    <row r="19" spans="1:15" x14ac:dyDescent="0.25">
      <c r="J19" s="2">
        <v>6</v>
      </c>
      <c r="K19" s="19">
        <v>59</v>
      </c>
      <c r="L19" s="19">
        <v>79</v>
      </c>
      <c r="M19" s="19">
        <v>82</v>
      </c>
      <c r="N19" s="19">
        <v>106</v>
      </c>
      <c r="O19" s="19">
        <v>59</v>
      </c>
    </row>
    <row r="20" spans="1:15" x14ac:dyDescent="0.25">
      <c r="J20" s="2">
        <v>8</v>
      </c>
      <c r="K20" s="19">
        <v>70</v>
      </c>
      <c r="L20" s="19">
        <v>83</v>
      </c>
      <c r="M20" s="19">
        <v>89</v>
      </c>
      <c r="N20" s="19">
        <v>104</v>
      </c>
      <c r="O20" s="19">
        <v>70</v>
      </c>
    </row>
    <row r="21" spans="1:15" x14ac:dyDescent="0.25">
      <c r="J21" s="2" t="s">
        <v>17</v>
      </c>
      <c r="K21" s="19">
        <v>42</v>
      </c>
      <c r="L21" s="19">
        <v>51</v>
      </c>
      <c r="M21" s="19">
        <v>65</v>
      </c>
      <c r="N21" s="19">
        <v>78</v>
      </c>
      <c r="O21" s="19">
        <v>42</v>
      </c>
    </row>
    <row r="28" spans="1:15" x14ac:dyDescent="0.25">
      <c r="A28" s="1" t="s">
        <v>25</v>
      </c>
      <c r="B28" s="1" t="s">
        <v>18</v>
      </c>
    </row>
    <row r="29" spans="1:15" x14ac:dyDescent="0.25">
      <c r="A29" s="1" t="s">
        <v>16</v>
      </c>
      <c r="B29">
        <v>1</v>
      </c>
      <c r="C29">
        <v>2</v>
      </c>
      <c r="D29">
        <v>3</v>
      </c>
      <c r="E29">
        <v>5</v>
      </c>
      <c r="F29" t="s">
        <v>17</v>
      </c>
    </row>
    <row r="30" spans="1:15" x14ac:dyDescent="0.25">
      <c r="A30" s="2">
        <v>2</v>
      </c>
      <c r="B30" s="4">
        <v>71</v>
      </c>
      <c r="C30" s="4">
        <v>73</v>
      </c>
      <c r="D30" s="4">
        <v>83.5</v>
      </c>
      <c r="E30" s="4">
        <v>103.5</v>
      </c>
      <c r="F30" s="4">
        <v>82</v>
      </c>
    </row>
    <row r="31" spans="1:15" x14ac:dyDescent="0.25">
      <c r="A31" s="2">
        <v>4</v>
      </c>
      <c r="B31" s="4">
        <v>79</v>
      </c>
      <c r="C31" s="4">
        <v>86</v>
      </c>
      <c r="D31" s="4">
        <v>96.5</v>
      </c>
      <c r="E31" s="4">
        <v>108</v>
      </c>
      <c r="F31" s="4">
        <v>90.5</v>
      </c>
    </row>
    <row r="32" spans="1:15" x14ac:dyDescent="0.25">
      <c r="A32" s="2">
        <v>5</v>
      </c>
      <c r="B32" s="4">
        <v>80</v>
      </c>
      <c r="C32" s="4">
        <v>85.5</v>
      </c>
      <c r="D32" s="4">
        <v>100.5</v>
      </c>
      <c r="E32" s="4">
        <v>117</v>
      </c>
      <c r="F32" s="4">
        <v>92.5</v>
      </c>
    </row>
    <row r="33" spans="1:6" x14ac:dyDescent="0.25">
      <c r="A33" s="2">
        <v>6</v>
      </c>
      <c r="B33" s="4">
        <v>79</v>
      </c>
      <c r="C33" s="4">
        <v>94</v>
      </c>
      <c r="D33" s="4">
        <v>99</v>
      </c>
      <c r="E33" s="4">
        <v>116</v>
      </c>
      <c r="F33" s="4">
        <v>93</v>
      </c>
    </row>
    <row r="34" spans="1:6" x14ac:dyDescent="0.25">
      <c r="A34" s="2">
        <v>8</v>
      </c>
      <c r="B34" s="4">
        <v>85</v>
      </c>
      <c r="C34" s="4">
        <v>96</v>
      </c>
      <c r="D34" s="4">
        <v>95</v>
      </c>
      <c r="E34" s="4">
        <v>116</v>
      </c>
      <c r="F34" s="4">
        <v>95</v>
      </c>
    </row>
    <row r="35" spans="1:6" x14ac:dyDescent="0.25">
      <c r="A35" s="2" t="s">
        <v>17</v>
      </c>
      <c r="B35" s="4">
        <v>80</v>
      </c>
      <c r="C35" s="4">
        <v>86.5</v>
      </c>
      <c r="D35" s="4">
        <v>96.5</v>
      </c>
      <c r="E35" s="4">
        <v>111</v>
      </c>
      <c r="F35" s="4">
        <v>91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DFED-69A1-40DF-8632-60C54C219E29}">
  <dimension ref="A3:O21"/>
  <sheetViews>
    <sheetView workbookViewId="0">
      <selection activeCell="J3" sqref="J3:O10"/>
      <pivotSelection pane="bottomRight" showHeader="1" activeRow="2" activeCol="9" previousRow="2" previousCol="9" click="1" r:id="rId1">
        <pivotArea type="all" dataOnly="0" outline="0" fieldPosition="0"/>
      </pivotSelection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3" width="6.5703125" bestFit="1" customWidth="1"/>
    <col min="4" max="4" width="7.5703125" bestFit="1" customWidth="1"/>
    <col min="5" max="5" width="8.5703125" bestFit="1" customWidth="1"/>
    <col min="6" max="6" width="11.28515625" bestFit="1" customWidth="1"/>
    <col min="10" max="10" width="18.140625" bestFit="1" customWidth="1"/>
    <col min="11" max="11" width="16.28515625" bestFit="1" customWidth="1"/>
    <col min="12" max="14" width="8.5703125" bestFit="1" customWidth="1"/>
    <col min="15" max="15" width="11.28515625" bestFit="1" customWidth="1"/>
  </cols>
  <sheetData>
    <row r="3" spans="1:15" x14ac:dyDescent="0.25">
      <c r="A3" s="1" t="s">
        <v>27</v>
      </c>
      <c r="B3" s="1" t="s">
        <v>18</v>
      </c>
      <c r="J3" s="1" t="s">
        <v>29</v>
      </c>
      <c r="K3" s="1" t="s">
        <v>18</v>
      </c>
    </row>
    <row r="4" spans="1:15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</row>
    <row r="5" spans="1:15" x14ac:dyDescent="0.25">
      <c r="A5" s="2">
        <v>2</v>
      </c>
      <c r="B5" s="3">
        <v>34.121800010325387</v>
      </c>
      <c r="C5" s="3">
        <v>36.232950005796738</v>
      </c>
      <c r="D5" s="3">
        <v>57.588099982240237</v>
      </c>
      <c r="E5" s="3">
        <v>104.88315000839066</v>
      </c>
      <c r="F5" s="3">
        <v>53.182599993306212</v>
      </c>
      <c r="J5" s="2">
        <v>2</v>
      </c>
      <c r="K5" s="3">
        <v>98.989699996309355</v>
      </c>
      <c r="L5" s="3">
        <v>744.63260002085008</v>
      </c>
      <c r="M5" s="3">
        <v>418.26979999314062</v>
      </c>
      <c r="N5" s="3">
        <v>11873.012199997902</v>
      </c>
      <c r="O5" s="3">
        <v>11873.012199997902</v>
      </c>
    </row>
    <row r="6" spans="1:15" x14ac:dyDescent="0.25">
      <c r="A6" s="2">
        <v>4</v>
      </c>
      <c r="B6" s="3">
        <v>134.3607000017073</v>
      </c>
      <c r="C6" s="3">
        <v>214.30150000378489</v>
      </c>
      <c r="D6" s="3">
        <v>847.86670000175945</v>
      </c>
      <c r="E6" s="3">
        <v>1056.5540499956114</v>
      </c>
      <c r="F6" s="3">
        <v>281.94875000917818</v>
      </c>
      <c r="J6" s="2">
        <v>4</v>
      </c>
      <c r="K6" s="3">
        <v>393.27919998322614</v>
      </c>
      <c r="L6" s="3">
        <v>3120.2461999782827</v>
      </c>
      <c r="M6" s="3">
        <v>120027.05430000788</v>
      </c>
      <c r="N6" s="3">
        <v>120021.27930001006</v>
      </c>
      <c r="O6" s="3">
        <v>120027.05430000788</v>
      </c>
    </row>
    <row r="7" spans="1:15" x14ac:dyDescent="0.25">
      <c r="A7" s="2">
        <v>5</v>
      </c>
      <c r="B7" s="3">
        <v>205.64399998693261</v>
      </c>
      <c r="C7" s="3">
        <v>446.66235000477172</v>
      </c>
      <c r="D7" s="3">
        <v>550.28124999080319</v>
      </c>
      <c r="E7" s="3">
        <v>3797.2467000072356</v>
      </c>
      <c r="F7" s="3">
        <v>490.35545000515413</v>
      </c>
      <c r="J7" s="2">
        <v>5</v>
      </c>
      <c r="K7" s="3">
        <v>120035.3983999812</v>
      </c>
      <c r="L7" s="3">
        <v>3439.0491000085603</v>
      </c>
      <c r="M7" s="3">
        <v>90226.127200003248</v>
      </c>
      <c r="N7" s="3">
        <v>120039.69920001691</v>
      </c>
      <c r="O7" s="3">
        <v>120039.69920001691</v>
      </c>
    </row>
    <row r="8" spans="1:15" x14ac:dyDescent="0.25">
      <c r="A8" s="2">
        <v>6</v>
      </c>
      <c r="B8" s="3">
        <v>367.95074999099597</v>
      </c>
      <c r="C8" s="3">
        <v>512.81455000571441</v>
      </c>
      <c r="D8" s="3">
        <v>2184.3799500202294</v>
      </c>
      <c r="E8" s="3">
        <v>37958.762599999318</v>
      </c>
      <c r="F8" s="3">
        <v>1510.9069500031183</v>
      </c>
      <c r="J8" s="2">
        <v>6</v>
      </c>
      <c r="K8" s="3">
        <v>4069.9468000093475</v>
      </c>
      <c r="L8" s="3">
        <v>120059.43620001199</v>
      </c>
      <c r="M8" s="3">
        <v>120025.75890001026</v>
      </c>
      <c r="N8" s="3">
        <v>120033.24799999245</v>
      </c>
      <c r="O8" s="3">
        <v>120059.43620001199</v>
      </c>
    </row>
    <row r="9" spans="1:15" x14ac:dyDescent="0.25">
      <c r="A9" s="2">
        <v>8</v>
      </c>
      <c r="B9" s="3">
        <v>510.77569999324623</v>
      </c>
      <c r="C9" s="3">
        <v>5223.2091500045499</v>
      </c>
      <c r="D9" s="3">
        <v>14285.652949998621</v>
      </c>
      <c r="E9" s="3">
        <v>120010.14875000692</v>
      </c>
      <c r="F9" s="3">
        <v>13218.66769999906</v>
      </c>
      <c r="J9" s="2">
        <v>8</v>
      </c>
      <c r="K9" s="3">
        <v>120063.12489998527</v>
      </c>
      <c r="L9" s="3">
        <v>120051.27170000924</v>
      </c>
      <c r="M9" s="3">
        <v>120063.58220000402</v>
      </c>
      <c r="N9" s="3">
        <v>120038.14729998703</v>
      </c>
      <c r="O9" s="3">
        <v>120063.58220000402</v>
      </c>
    </row>
    <row r="10" spans="1:15" x14ac:dyDescent="0.25">
      <c r="A10" s="2" t="s">
        <v>17</v>
      </c>
      <c r="B10" s="3">
        <v>189.41164998977911</v>
      </c>
      <c r="C10" s="3">
        <v>379.53684999956749</v>
      </c>
      <c r="D10" s="3">
        <v>912.03369999129791</v>
      </c>
      <c r="E10" s="3">
        <v>4737.1492499951273</v>
      </c>
      <c r="F10" s="3">
        <v>472.59755000413861</v>
      </c>
      <c r="J10" s="2" t="s">
        <v>17</v>
      </c>
      <c r="K10" s="3">
        <v>120063.12489998527</v>
      </c>
      <c r="L10" s="3">
        <v>120059.43620001199</v>
      </c>
      <c r="M10" s="3">
        <v>120063.58220000402</v>
      </c>
      <c r="N10" s="3">
        <v>120039.69920001691</v>
      </c>
      <c r="O10" s="3">
        <v>120063.58220000402</v>
      </c>
    </row>
    <row r="14" spans="1:15" x14ac:dyDescent="0.25">
      <c r="J14" s="1" t="s">
        <v>28</v>
      </c>
      <c r="K14" s="1" t="s">
        <v>18</v>
      </c>
    </row>
    <row r="15" spans="1:15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</row>
    <row r="16" spans="1:15" x14ac:dyDescent="0.25">
      <c r="J16" s="2">
        <v>2</v>
      </c>
      <c r="K16" s="3">
        <v>19.225800002459437</v>
      </c>
      <c r="L16" s="3">
        <v>22.324199991999194</v>
      </c>
      <c r="M16" s="3">
        <v>36.036100005730987</v>
      </c>
      <c r="N16" s="3">
        <v>52.563300007022917</v>
      </c>
      <c r="O16" s="3">
        <v>19.225800002459437</v>
      </c>
    </row>
    <row r="17" spans="10:15" x14ac:dyDescent="0.25">
      <c r="J17" s="2">
        <v>4</v>
      </c>
      <c r="K17" s="3">
        <v>75.916100002359599</v>
      </c>
      <c r="L17" s="3">
        <v>71.48439998854883</v>
      </c>
      <c r="M17" s="3">
        <v>79.535600001690909</v>
      </c>
      <c r="N17" s="3">
        <v>187.31070001376793</v>
      </c>
      <c r="O17" s="3">
        <v>71.48439998854883</v>
      </c>
    </row>
    <row r="18" spans="10:15" x14ac:dyDescent="0.25">
      <c r="J18" s="2">
        <v>5</v>
      </c>
      <c r="K18" s="3">
        <v>85.479000001214445</v>
      </c>
      <c r="L18" s="3">
        <v>89.653100003488362</v>
      </c>
      <c r="M18" s="3">
        <v>139.0121000004001</v>
      </c>
      <c r="N18" s="3">
        <v>426.32040000171401</v>
      </c>
      <c r="O18" s="3">
        <v>85.479000001214445</v>
      </c>
    </row>
    <row r="19" spans="10:15" x14ac:dyDescent="0.25">
      <c r="J19" s="2">
        <v>6</v>
      </c>
      <c r="K19" s="3">
        <v>104.04700000071898</v>
      </c>
      <c r="L19" s="3">
        <v>136.55630001449026</v>
      </c>
      <c r="M19" s="3">
        <v>247.79620001208968</v>
      </c>
      <c r="N19" s="3">
        <v>494.30160000338219</v>
      </c>
      <c r="O19" s="3">
        <v>104.04700000071898</v>
      </c>
    </row>
    <row r="20" spans="10:15" x14ac:dyDescent="0.25">
      <c r="J20" s="2">
        <v>8</v>
      </c>
      <c r="K20" s="3">
        <v>173.82880000513978</v>
      </c>
      <c r="L20" s="3">
        <v>341.51530000963248</v>
      </c>
      <c r="M20" s="3">
        <v>1455.3808000055142</v>
      </c>
      <c r="N20" s="3">
        <v>5000.919599988265</v>
      </c>
      <c r="O20" s="3">
        <v>173.82880000513978</v>
      </c>
    </row>
    <row r="21" spans="10:15" x14ac:dyDescent="0.25">
      <c r="J21" s="2" t="s">
        <v>17</v>
      </c>
      <c r="K21" s="3">
        <v>19.225800002459437</v>
      </c>
      <c r="L21" s="3">
        <v>22.324199991999194</v>
      </c>
      <c r="M21" s="3">
        <v>36.036100005730987</v>
      </c>
      <c r="N21" s="3">
        <v>52.563300007022917</v>
      </c>
      <c r="O21" s="3">
        <v>19.225800002459437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C3F6-F249-4D57-9EAC-AD2B681C988B}">
  <dimension ref="A3:O21"/>
  <sheetViews>
    <sheetView workbookViewId="0">
      <selection activeCell="A3" sqref="A3:F1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" bestFit="1" customWidth="1"/>
    <col min="4" max="4" width="8" bestFit="1" customWidth="1"/>
    <col min="5" max="5" width="9" bestFit="1" customWidth="1"/>
    <col min="6" max="6" width="11.28515625" bestFit="1" customWidth="1"/>
    <col min="10" max="10" width="18.140625" bestFit="1" customWidth="1"/>
    <col min="11" max="11" width="16.28515625" bestFit="1" customWidth="1"/>
    <col min="12" max="12" width="5" bestFit="1" customWidth="1"/>
    <col min="13" max="13" width="6" bestFit="1" customWidth="1"/>
    <col min="14" max="14" width="7" bestFit="1" customWidth="1"/>
    <col min="15" max="15" width="11.28515625" bestFit="1" customWidth="1"/>
  </cols>
  <sheetData>
    <row r="3" spans="1:15" x14ac:dyDescent="0.25">
      <c r="A3" s="1" t="s">
        <v>30</v>
      </c>
      <c r="B3" s="1" t="s">
        <v>18</v>
      </c>
      <c r="J3" s="1" t="s">
        <v>32</v>
      </c>
      <c r="K3" s="1" t="s">
        <v>18</v>
      </c>
    </row>
    <row r="4" spans="1:15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</row>
    <row r="5" spans="1:15" x14ac:dyDescent="0.25">
      <c r="A5" s="2">
        <v>2</v>
      </c>
      <c r="B5" s="4">
        <v>707.5</v>
      </c>
      <c r="C5" s="4">
        <v>946</v>
      </c>
      <c r="D5" s="4">
        <v>1560</v>
      </c>
      <c r="E5" s="4">
        <v>4345.5</v>
      </c>
      <c r="F5" s="4">
        <v>1420.5</v>
      </c>
      <c r="J5" s="2">
        <v>2</v>
      </c>
      <c r="K5" s="19">
        <v>3138</v>
      </c>
      <c r="L5" s="19">
        <v>19490</v>
      </c>
      <c r="M5" s="19">
        <v>11707</v>
      </c>
      <c r="N5" s="19">
        <v>1158169</v>
      </c>
      <c r="O5" s="19">
        <v>1158169</v>
      </c>
    </row>
    <row r="6" spans="1:15" x14ac:dyDescent="0.25">
      <c r="A6" s="2">
        <v>4</v>
      </c>
      <c r="B6" s="4">
        <v>2928.5</v>
      </c>
      <c r="C6" s="4">
        <v>5423.5</v>
      </c>
      <c r="D6" s="4">
        <v>22800.5</v>
      </c>
      <c r="E6" s="4">
        <v>40366.5</v>
      </c>
      <c r="F6" s="4">
        <v>7147.5</v>
      </c>
      <c r="J6" s="2">
        <v>4</v>
      </c>
      <c r="K6" s="19">
        <v>7651</v>
      </c>
      <c r="L6" s="19">
        <v>124370</v>
      </c>
      <c r="M6" s="19">
        <v>15539335</v>
      </c>
      <c r="N6" s="19">
        <v>16394268</v>
      </c>
      <c r="O6" s="19">
        <v>16394268</v>
      </c>
    </row>
    <row r="7" spans="1:15" x14ac:dyDescent="0.25">
      <c r="A7" s="2">
        <v>5</v>
      </c>
      <c r="B7" s="4">
        <v>4082.5</v>
      </c>
      <c r="C7" s="4">
        <v>12021.5</v>
      </c>
      <c r="D7" s="4">
        <v>15471</v>
      </c>
      <c r="E7" s="4">
        <v>299238.5</v>
      </c>
      <c r="F7" s="4">
        <v>13844.5</v>
      </c>
      <c r="J7" s="2">
        <v>5</v>
      </c>
      <c r="K7" s="19">
        <v>2080576</v>
      </c>
      <c r="L7" s="19">
        <v>112567</v>
      </c>
      <c r="M7" s="19">
        <v>2956586</v>
      </c>
      <c r="N7" s="19">
        <v>16280099</v>
      </c>
      <c r="O7" s="19">
        <v>16280099</v>
      </c>
    </row>
    <row r="8" spans="1:15" x14ac:dyDescent="0.25">
      <c r="A8" s="2">
        <v>6</v>
      </c>
      <c r="B8" s="4">
        <v>6441.5</v>
      </c>
      <c r="C8" s="4">
        <v>12011.5</v>
      </c>
      <c r="D8" s="4">
        <v>69912</v>
      </c>
      <c r="E8" s="4">
        <v>3543587</v>
      </c>
      <c r="F8" s="4">
        <v>38144</v>
      </c>
      <c r="J8" s="2">
        <v>6</v>
      </c>
      <c r="K8" s="19">
        <v>124826</v>
      </c>
      <c r="L8" s="19">
        <v>14596984</v>
      </c>
      <c r="M8" s="19">
        <v>15859345</v>
      </c>
      <c r="N8" s="19">
        <v>17040607</v>
      </c>
      <c r="O8" s="19">
        <v>17040607</v>
      </c>
    </row>
    <row r="9" spans="1:15" x14ac:dyDescent="0.25">
      <c r="A9" s="2">
        <v>8</v>
      </c>
      <c r="B9" s="4">
        <v>11886.5</v>
      </c>
      <c r="C9" s="4">
        <v>149847</v>
      </c>
      <c r="D9" s="4">
        <v>1146410</v>
      </c>
      <c r="E9" s="4">
        <v>12606169</v>
      </c>
      <c r="F9" s="4">
        <v>640524</v>
      </c>
      <c r="J9" s="2">
        <v>8</v>
      </c>
      <c r="K9" s="19">
        <v>2692267</v>
      </c>
      <c r="L9" s="19">
        <v>8567823</v>
      </c>
      <c r="M9" s="19">
        <v>10248981</v>
      </c>
      <c r="N9" s="19">
        <v>16402310</v>
      </c>
      <c r="O9" s="19">
        <v>16402310</v>
      </c>
    </row>
    <row r="10" spans="1:15" x14ac:dyDescent="0.25">
      <c r="A10" s="2" t="s">
        <v>17</v>
      </c>
      <c r="B10" s="4">
        <v>3786</v>
      </c>
      <c r="C10" s="4">
        <v>9393.5</v>
      </c>
      <c r="D10" s="4">
        <v>25064.5</v>
      </c>
      <c r="E10" s="4">
        <v>377516.5</v>
      </c>
      <c r="F10" s="4">
        <v>13064</v>
      </c>
      <c r="J10" s="2" t="s">
        <v>17</v>
      </c>
      <c r="K10" s="19">
        <v>2692267</v>
      </c>
      <c r="L10" s="19">
        <v>14596984</v>
      </c>
      <c r="M10" s="19">
        <v>15859345</v>
      </c>
      <c r="N10" s="19">
        <v>17040607</v>
      </c>
      <c r="O10" s="19">
        <v>17040607</v>
      </c>
    </row>
    <row r="14" spans="1:15" x14ac:dyDescent="0.25">
      <c r="J14" s="1" t="s">
        <v>31</v>
      </c>
      <c r="K14" s="1" t="s">
        <v>18</v>
      </c>
    </row>
    <row r="15" spans="1:15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</row>
    <row r="16" spans="1:15" x14ac:dyDescent="0.25">
      <c r="J16" s="2">
        <v>2</v>
      </c>
      <c r="K16" s="4">
        <v>335</v>
      </c>
      <c r="L16" s="4">
        <v>472</v>
      </c>
      <c r="M16" s="4">
        <v>931</v>
      </c>
      <c r="N16" s="4">
        <v>1536</v>
      </c>
      <c r="O16" s="4">
        <v>335</v>
      </c>
    </row>
    <row r="17" spans="10:15" x14ac:dyDescent="0.25">
      <c r="J17" s="2">
        <v>4</v>
      </c>
      <c r="K17" s="4">
        <v>1246</v>
      </c>
      <c r="L17" s="4">
        <v>1660</v>
      </c>
      <c r="M17" s="4">
        <v>2171</v>
      </c>
      <c r="N17" s="4">
        <v>6405</v>
      </c>
      <c r="O17" s="4">
        <v>1246</v>
      </c>
    </row>
    <row r="18" spans="10:15" x14ac:dyDescent="0.25">
      <c r="J18" s="2">
        <v>5</v>
      </c>
      <c r="K18" s="4">
        <v>1520</v>
      </c>
      <c r="L18" s="4">
        <v>2378</v>
      </c>
      <c r="M18" s="4">
        <v>4108</v>
      </c>
      <c r="N18" s="4">
        <v>14869</v>
      </c>
      <c r="O18" s="4">
        <v>1520</v>
      </c>
    </row>
    <row r="19" spans="10:15" x14ac:dyDescent="0.25">
      <c r="J19" s="2">
        <v>6</v>
      </c>
      <c r="K19" s="4">
        <v>2261</v>
      </c>
      <c r="L19" s="4">
        <v>3412</v>
      </c>
      <c r="M19" s="4">
        <v>8059</v>
      </c>
      <c r="N19" s="4">
        <v>18958</v>
      </c>
      <c r="O19" s="4">
        <v>2261</v>
      </c>
    </row>
    <row r="20" spans="10:15" x14ac:dyDescent="0.25">
      <c r="J20" s="2">
        <v>8</v>
      </c>
      <c r="K20" s="4">
        <v>3146</v>
      </c>
      <c r="L20" s="4">
        <v>7515</v>
      </c>
      <c r="M20" s="4">
        <v>40994</v>
      </c>
      <c r="N20" s="4">
        <v>129392</v>
      </c>
      <c r="O20" s="4">
        <v>3146</v>
      </c>
    </row>
    <row r="21" spans="10:15" x14ac:dyDescent="0.25">
      <c r="J21" s="2" t="s">
        <v>17</v>
      </c>
      <c r="K21" s="4">
        <v>335</v>
      </c>
      <c r="L21" s="4">
        <v>472</v>
      </c>
      <c r="M21" s="4">
        <v>931</v>
      </c>
      <c r="N21" s="4">
        <v>1536</v>
      </c>
      <c r="O21" s="4">
        <v>335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2A24-0967-4278-B713-C695C70C11DF}">
  <dimension ref="A3:O21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4" bestFit="1" customWidth="1"/>
    <col min="4" max="5" width="5" bestFit="1" customWidth="1"/>
    <col min="6" max="6" width="11.28515625" bestFit="1" customWidth="1"/>
    <col min="10" max="10" width="21.7109375" bestFit="1" customWidth="1"/>
    <col min="11" max="11" width="16.28515625" bestFit="1" customWidth="1"/>
    <col min="12" max="12" width="3" bestFit="1" customWidth="1"/>
    <col min="13" max="14" width="4" bestFit="1" customWidth="1"/>
    <col min="15" max="15" width="11.28515625" bestFit="1" customWidth="1"/>
  </cols>
  <sheetData>
    <row r="3" spans="1:15" x14ac:dyDescent="0.25">
      <c r="A3" s="1" t="s">
        <v>33</v>
      </c>
      <c r="B3" s="1" t="s">
        <v>18</v>
      </c>
      <c r="J3" s="1" t="s">
        <v>34</v>
      </c>
      <c r="K3" s="1" t="s">
        <v>18</v>
      </c>
    </row>
    <row r="4" spans="1:15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</row>
    <row r="5" spans="1:15" x14ac:dyDescent="0.25">
      <c r="A5" s="2">
        <v>2</v>
      </c>
      <c r="B5" s="4">
        <v>4</v>
      </c>
      <c r="C5" s="4">
        <v>6</v>
      </c>
      <c r="D5" s="4">
        <v>8.5</v>
      </c>
      <c r="E5" s="4">
        <v>23</v>
      </c>
      <c r="F5" s="4">
        <v>8</v>
      </c>
      <c r="J5" s="2">
        <v>2</v>
      </c>
      <c r="K5" s="19">
        <v>12</v>
      </c>
      <c r="L5" s="19">
        <v>153</v>
      </c>
      <c r="M5" s="19">
        <v>64</v>
      </c>
      <c r="N5" s="19">
        <v>855</v>
      </c>
      <c r="O5" s="19">
        <v>855</v>
      </c>
    </row>
    <row r="6" spans="1:15" x14ac:dyDescent="0.25">
      <c r="A6" s="2">
        <v>4</v>
      </c>
      <c r="B6" s="4">
        <v>16</v>
      </c>
      <c r="C6" s="4">
        <v>30</v>
      </c>
      <c r="D6" s="4">
        <v>93.5</v>
      </c>
      <c r="E6" s="4">
        <v>230</v>
      </c>
      <c r="F6" s="4">
        <v>41</v>
      </c>
      <c r="J6" s="2">
        <v>4</v>
      </c>
      <c r="K6" s="19">
        <v>44</v>
      </c>
      <c r="L6" s="19">
        <v>444</v>
      </c>
      <c r="M6" s="19">
        <v>18317</v>
      </c>
      <c r="N6" s="19">
        <v>8013</v>
      </c>
      <c r="O6" s="19">
        <v>18317</v>
      </c>
    </row>
    <row r="7" spans="1:15" x14ac:dyDescent="0.25">
      <c r="A7" s="2">
        <v>5</v>
      </c>
      <c r="B7" s="4">
        <v>24</v>
      </c>
      <c r="C7" s="4">
        <v>63</v>
      </c>
      <c r="D7" s="4">
        <v>87</v>
      </c>
      <c r="E7" s="4">
        <v>751</v>
      </c>
      <c r="F7" s="4">
        <v>76</v>
      </c>
      <c r="J7" s="2">
        <v>5</v>
      </c>
      <c r="K7" s="19">
        <v>14362</v>
      </c>
      <c r="L7" s="19">
        <v>518</v>
      </c>
      <c r="M7" s="19">
        <v>14005</v>
      </c>
      <c r="N7" s="19">
        <v>17725</v>
      </c>
      <c r="O7" s="19">
        <v>17725</v>
      </c>
    </row>
    <row r="8" spans="1:15" x14ac:dyDescent="0.25">
      <c r="A8" s="2">
        <v>6</v>
      </c>
      <c r="B8" s="4">
        <v>46</v>
      </c>
      <c r="C8" s="4">
        <v>77.5</v>
      </c>
      <c r="D8" s="4">
        <v>345.5</v>
      </c>
      <c r="E8" s="4">
        <v>1879</v>
      </c>
      <c r="F8" s="4">
        <v>179</v>
      </c>
      <c r="J8" s="2">
        <v>6</v>
      </c>
      <c r="K8" s="19">
        <v>448</v>
      </c>
      <c r="L8" s="19">
        <v>16560</v>
      </c>
      <c r="M8" s="19">
        <v>6867</v>
      </c>
      <c r="N8" s="19">
        <v>10106</v>
      </c>
      <c r="O8" s="19">
        <v>16560</v>
      </c>
    </row>
    <row r="9" spans="1:15" x14ac:dyDescent="0.25">
      <c r="A9" s="2">
        <v>8</v>
      </c>
      <c r="B9" s="4">
        <v>54</v>
      </c>
      <c r="C9" s="4">
        <v>758.5</v>
      </c>
      <c r="D9" s="4">
        <v>1402.5</v>
      </c>
      <c r="E9" s="4">
        <v>4019</v>
      </c>
      <c r="F9" s="4">
        <v>1208.5</v>
      </c>
      <c r="J9" s="2">
        <v>8</v>
      </c>
      <c r="K9" s="19">
        <v>12886</v>
      </c>
      <c r="L9" s="19">
        <v>17835</v>
      </c>
      <c r="M9" s="19">
        <v>22376</v>
      </c>
      <c r="N9" s="19">
        <v>13910</v>
      </c>
      <c r="O9" s="19">
        <v>22376</v>
      </c>
    </row>
    <row r="10" spans="1:15" x14ac:dyDescent="0.25">
      <c r="A10" s="2" t="s">
        <v>17</v>
      </c>
      <c r="B10" s="4">
        <v>24</v>
      </c>
      <c r="C10" s="4">
        <v>54</v>
      </c>
      <c r="D10" s="4">
        <v>133.5</v>
      </c>
      <c r="E10" s="4">
        <v>780</v>
      </c>
      <c r="F10" s="4">
        <v>72</v>
      </c>
      <c r="J10" s="2" t="s">
        <v>17</v>
      </c>
      <c r="K10" s="19">
        <v>14362</v>
      </c>
      <c r="L10" s="19">
        <v>17835</v>
      </c>
      <c r="M10" s="19">
        <v>22376</v>
      </c>
      <c r="N10" s="19">
        <v>17725</v>
      </c>
      <c r="O10" s="19">
        <v>22376</v>
      </c>
    </row>
    <row r="14" spans="1:15" x14ac:dyDescent="0.25">
      <c r="J14" s="1" t="s">
        <v>35</v>
      </c>
      <c r="K14" s="1" t="s">
        <v>18</v>
      </c>
    </row>
    <row r="15" spans="1:15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</row>
    <row r="16" spans="1:15" x14ac:dyDescent="0.25">
      <c r="J16" s="2">
        <v>2</v>
      </c>
      <c r="K16" s="19">
        <v>4</v>
      </c>
      <c r="L16" s="19">
        <v>6</v>
      </c>
      <c r="M16" s="19">
        <v>8</v>
      </c>
      <c r="N16" s="19">
        <v>12</v>
      </c>
      <c r="O16" s="19">
        <v>4</v>
      </c>
    </row>
    <row r="17" spans="10:15" x14ac:dyDescent="0.25">
      <c r="J17" s="2">
        <v>4</v>
      </c>
      <c r="K17" s="19">
        <v>8</v>
      </c>
      <c r="L17" s="19">
        <v>12</v>
      </c>
      <c r="M17" s="19">
        <v>16</v>
      </c>
      <c r="N17" s="19">
        <v>42</v>
      </c>
      <c r="O17" s="19">
        <v>8</v>
      </c>
    </row>
    <row r="18" spans="10:15" x14ac:dyDescent="0.25">
      <c r="J18" s="2">
        <v>5</v>
      </c>
      <c r="K18" s="19">
        <v>10</v>
      </c>
      <c r="L18" s="19">
        <v>15</v>
      </c>
      <c r="M18" s="19">
        <v>29</v>
      </c>
      <c r="N18" s="19">
        <v>96</v>
      </c>
      <c r="O18" s="19">
        <v>10</v>
      </c>
    </row>
    <row r="19" spans="10:15" x14ac:dyDescent="0.25">
      <c r="J19" s="2">
        <v>6</v>
      </c>
      <c r="K19" s="19">
        <v>12</v>
      </c>
      <c r="L19" s="19">
        <v>24</v>
      </c>
      <c r="M19" s="19">
        <v>51</v>
      </c>
      <c r="N19" s="19">
        <v>106</v>
      </c>
      <c r="O19" s="19">
        <v>12</v>
      </c>
    </row>
    <row r="20" spans="10:15" x14ac:dyDescent="0.25">
      <c r="J20" s="2">
        <v>8</v>
      </c>
      <c r="K20" s="19">
        <v>20</v>
      </c>
      <c r="L20" s="19">
        <v>50</v>
      </c>
      <c r="M20" s="19">
        <v>153</v>
      </c>
      <c r="N20" s="19">
        <v>840</v>
      </c>
      <c r="O20" s="19">
        <v>20</v>
      </c>
    </row>
    <row r="21" spans="10:15" x14ac:dyDescent="0.25">
      <c r="J21" s="2" t="s">
        <v>17</v>
      </c>
      <c r="K21" s="19">
        <v>4</v>
      </c>
      <c r="L21" s="19">
        <v>6</v>
      </c>
      <c r="M21" s="19">
        <v>8</v>
      </c>
      <c r="N21" s="19">
        <v>12</v>
      </c>
      <c r="O21" s="19">
        <v>4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B83F-49D6-41A1-854A-D6EC9D8BA0A7}">
  <dimension ref="A3:O21"/>
  <sheetViews>
    <sheetView workbookViewId="0">
      <selection activeCell="A3" sqref="A3:F1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5" width="4" bestFit="1" customWidth="1"/>
    <col min="6" max="6" width="11.28515625" bestFit="1" customWidth="1"/>
    <col min="10" max="10" width="16.7109375" bestFit="1" customWidth="1"/>
    <col min="11" max="11" width="16.28515625" bestFit="1" customWidth="1"/>
    <col min="12" max="12" width="2" bestFit="1" customWidth="1"/>
    <col min="13" max="14" width="3" bestFit="1" customWidth="1"/>
    <col min="15" max="15" width="11.28515625" bestFit="1" customWidth="1"/>
  </cols>
  <sheetData>
    <row r="3" spans="1:15" x14ac:dyDescent="0.25">
      <c r="A3" s="1" t="s">
        <v>38</v>
      </c>
      <c r="B3" s="1" t="s">
        <v>18</v>
      </c>
      <c r="J3" s="1" t="s">
        <v>37</v>
      </c>
      <c r="K3" s="1" t="s">
        <v>18</v>
      </c>
    </row>
    <row r="4" spans="1:15" x14ac:dyDescent="0.25">
      <c r="A4" s="1" t="s">
        <v>16</v>
      </c>
      <c r="B4">
        <v>1</v>
      </c>
      <c r="C4">
        <v>2</v>
      </c>
      <c r="D4">
        <v>3</v>
      </c>
      <c r="E4">
        <v>5</v>
      </c>
      <c r="F4" t="s">
        <v>17</v>
      </c>
      <c r="J4" s="1" t="s">
        <v>16</v>
      </c>
      <c r="K4">
        <v>1</v>
      </c>
      <c r="L4">
        <v>2</v>
      </c>
      <c r="M4">
        <v>3</v>
      </c>
      <c r="N4">
        <v>5</v>
      </c>
      <c r="O4" t="s">
        <v>17</v>
      </c>
    </row>
    <row r="5" spans="1:15" x14ac:dyDescent="0.25">
      <c r="A5" s="2">
        <v>2</v>
      </c>
      <c r="B5" s="4">
        <v>1</v>
      </c>
      <c r="C5" s="4">
        <v>1</v>
      </c>
      <c r="D5" s="4">
        <v>1</v>
      </c>
      <c r="E5" s="4">
        <v>1.5</v>
      </c>
      <c r="F5" s="4">
        <v>1</v>
      </c>
      <c r="J5" s="2">
        <v>2</v>
      </c>
      <c r="K5" s="19">
        <v>3</v>
      </c>
      <c r="L5" s="19">
        <v>22</v>
      </c>
      <c r="M5" s="19">
        <v>8</v>
      </c>
      <c r="N5" s="19">
        <v>59</v>
      </c>
      <c r="O5" s="19">
        <v>59</v>
      </c>
    </row>
    <row r="6" spans="1:15" x14ac:dyDescent="0.25">
      <c r="A6" s="2">
        <v>4</v>
      </c>
      <c r="B6" s="4">
        <v>3</v>
      </c>
      <c r="C6" s="4">
        <v>4</v>
      </c>
      <c r="D6" s="4">
        <v>10.5</v>
      </c>
      <c r="E6" s="4">
        <v>11.5</v>
      </c>
      <c r="F6" s="4">
        <v>4</v>
      </c>
      <c r="J6" s="2">
        <v>4</v>
      </c>
      <c r="K6" s="19">
        <v>10</v>
      </c>
      <c r="L6" s="19">
        <v>73</v>
      </c>
      <c r="M6" s="19">
        <v>2288</v>
      </c>
      <c r="N6" s="19">
        <v>489</v>
      </c>
      <c r="O6" s="19">
        <v>2288</v>
      </c>
    </row>
    <row r="7" spans="1:15" x14ac:dyDescent="0.25">
      <c r="A7" s="2">
        <v>5</v>
      </c>
      <c r="B7" s="4">
        <v>4.5</v>
      </c>
      <c r="C7" s="4">
        <v>9</v>
      </c>
      <c r="D7" s="4">
        <v>8.5</v>
      </c>
      <c r="E7" s="4">
        <v>34.5</v>
      </c>
      <c r="F7" s="4">
        <v>9.5</v>
      </c>
      <c r="J7" s="2">
        <v>5</v>
      </c>
      <c r="K7" s="19">
        <v>3588</v>
      </c>
      <c r="L7" s="19">
        <v>84</v>
      </c>
      <c r="M7" s="19">
        <v>1626</v>
      </c>
      <c r="N7" s="19">
        <v>1001</v>
      </c>
      <c r="O7" s="19">
        <v>3588</v>
      </c>
    </row>
    <row r="8" spans="1:15" x14ac:dyDescent="0.25">
      <c r="A8" s="2">
        <v>6</v>
      </c>
      <c r="B8" s="4">
        <v>9.5</v>
      </c>
      <c r="C8" s="4">
        <v>10.5</v>
      </c>
      <c r="D8" s="4">
        <v>36</v>
      </c>
      <c r="E8" s="4">
        <v>113.5</v>
      </c>
      <c r="F8" s="4">
        <v>28</v>
      </c>
      <c r="J8" s="2">
        <v>6</v>
      </c>
      <c r="K8" s="19">
        <v>110</v>
      </c>
      <c r="L8" s="19">
        <v>2758</v>
      </c>
      <c r="M8" s="19">
        <v>782</v>
      </c>
      <c r="N8" s="19">
        <v>653</v>
      </c>
      <c r="O8" s="19">
        <v>2758</v>
      </c>
    </row>
    <row r="9" spans="1:15" x14ac:dyDescent="0.25">
      <c r="A9" s="2">
        <v>8</v>
      </c>
      <c r="B9" s="4">
        <v>10.5</v>
      </c>
      <c r="C9" s="4">
        <v>121.5</v>
      </c>
      <c r="D9" s="4">
        <v>134</v>
      </c>
      <c r="E9" s="4">
        <v>230</v>
      </c>
      <c r="F9" s="4">
        <v>118.5</v>
      </c>
      <c r="J9" s="2">
        <v>8</v>
      </c>
      <c r="K9" s="19">
        <v>3218</v>
      </c>
      <c r="L9" s="19">
        <v>2969</v>
      </c>
      <c r="M9" s="19">
        <v>2500</v>
      </c>
      <c r="N9" s="19">
        <v>789</v>
      </c>
      <c r="O9" s="19">
        <v>3218</v>
      </c>
    </row>
    <row r="10" spans="1:15" x14ac:dyDescent="0.25">
      <c r="A10" s="2" t="s">
        <v>17</v>
      </c>
      <c r="B10" s="4">
        <v>4</v>
      </c>
      <c r="C10" s="4">
        <v>7</v>
      </c>
      <c r="D10" s="4">
        <v>14</v>
      </c>
      <c r="E10" s="4">
        <v>47</v>
      </c>
      <c r="F10" s="4">
        <v>9</v>
      </c>
      <c r="J10" s="2" t="s">
        <v>17</v>
      </c>
      <c r="K10" s="19">
        <v>3588</v>
      </c>
      <c r="L10" s="19">
        <v>2969</v>
      </c>
      <c r="M10" s="19">
        <v>2500</v>
      </c>
      <c r="N10" s="19">
        <v>1001</v>
      </c>
      <c r="O10" s="19">
        <v>3588</v>
      </c>
    </row>
    <row r="14" spans="1:15" x14ac:dyDescent="0.25">
      <c r="J14" s="1" t="s">
        <v>36</v>
      </c>
      <c r="K14" s="1" t="s">
        <v>18</v>
      </c>
    </row>
    <row r="15" spans="1:15" x14ac:dyDescent="0.25">
      <c r="J15" s="1" t="s">
        <v>16</v>
      </c>
      <c r="K15">
        <v>1</v>
      </c>
      <c r="L15">
        <v>2</v>
      </c>
      <c r="M15">
        <v>3</v>
      </c>
      <c r="N15">
        <v>5</v>
      </c>
      <c r="O15" t="s">
        <v>17</v>
      </c>
    </row>
    <row r="16" spans="1:15" x14ac:dyDescent="0.25">
      <c r="J16" s="2">
        <v>2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</row>
    <row r="17" spans="10:15" x14ac:dyDescent="0.25">
      <c r="J17" s="2">
        <v>4</v>
      </c>
      <c r="K17" s="19">
        <v>1</v>
      </c>
      <c r="L17" s="19">
        <v>1</v>
      </c>
      <c r="M17" s="19">
        <v>1</v>
      </c>
      <c r="N17" s="19">
        <v>2</v>
      </c>
      <c r="O17" s="19">
        <v>1</v>
      </c>
    </row>
    <row r="18" spans="10:15" x14ac:dyDescent="0.25">
      <c r="J18" s="2">
        <v>5</v>
      </c>
      <c r="K18" s="19">
        <v>1</v>
      </c>
      <c r="L18" s="19">
        <v>1</v>
      </c>
      <c r="M18" s="19">
        <v>2</v>
      </c>
      <c r="N18" s="19">
        <v>4</v>
      </c>
      <c r="O18" s="19">
        <v>1</v>
      </c>
    </row>
    <row r="19" spans="10:15" x14ac:dyDescent="0.25">
      <c r="J19" s="2">
        <v>6</v>
      </c>
      <c r="K19" s="19">
        <v>1</v>
      </c>
      <c r="L19" s="19">
        <v>2</v>
      </c>
      <c r="M19" s="19">
        <v>4</v>
      </c>
      <c r="N19" s="19">
        <v>5</v>
      </c>
      <c r="O19" s="19">
        <v>1</v>
      </c>
    </row>
    <row r="20" spans="10:15" x14ac:dyDescent="0.25">
      <c r="J20" s="2">
        <v>8</v>
      </c>
      <c r="K20" s="19">
        <v>2</v>
      </c>
      <c r="L20" s="19">
        <v>5</v>
      </c>
      <c r="M20" s="19">
        <v>14</v>
      </c>
      <c r="N20" s="19">
        <v>47</v>
      </c>
      <c r="O20" s="19">
        <v>2</v>
      </c>
    </row>
    <row r="21" spans="10:15" x14ac:dyDescent="0.25">
      <c r="J21" s="2" t="s">
        <v>17</v>
      </c>
      <c r="K21" s="19">
        <v>1</v>
      </c>
      <c r="L21" s="19">
        <v>1</v>
      </c>
      <c r="M21" s="19">
        <v>1</v>
      </c>
      <c r="N21" s="19">
        <v>1</v>
      </c>
      <c r="O21" s="19">
        <v>1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8AA6C-C066-4A09-8822-8B86E2A0E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mgcbs_results_summary</vt:lpstr>
      <vt:lpstr>Data Sum</vt:lpstr>
      <vt:lpstr>SoC</vt:lpstr>
      <vt:lpstr>Makespan</vt:lpstr>
      <vt:lpstr>Computation Time</vt:lpstr>
      <vt:lpstr>Astar</vt:lpstr>
      <vt:lpstr>DSS</vt:lpstr>
      <vt:lpstr>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Abraar Bimasakti</dc:creator>
  <cp:lastModifiedBy>Abraar Bimasakti</cp:lastModifiedBy>
  <dcterms:created xsi:type="dcterms:W3CDTF">2015-06-05T18:17:20Z</dcterms:created>
  <dcterms:modified xsi:type="dcterms:W3CDTF">2025-12-24T04:07:29Z</dcterms:modified>
</cp:coreProperties>
</file>